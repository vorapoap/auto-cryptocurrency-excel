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orapoap\Documents\Custom Office Templates\"/>
    </mc:Choice>
  </mc:AlternateContent>
  <bookViews>
    <workbookView xWindow="0" yWindow="0" windowWidth="23040" windowHeight="9192" tabRatio="760"/>
  </bookViews>
  <sheets>
    <sheet name="Disclaimer" sheetId="15" r:id="rId1"/>
    <sheet name="Example" sheetId="16" r:id="rId2"/>
    <sheet name="REF-CryptoWat" sheetId="11" r:id="rId3"/>
    <sheet name="REF-BX.in.th" sheetId="12" r:id="rId4"/>
    <sheet name="REF-Bittrex" sheetId="19" r:id="rId5"/>
    <sheet name="Bitfinex" sheetId="20" r:id="rId6"/>
    <sheet name="Poloniex" sheetId="21" r:id="rId7"/>
    <sheet name="Bittrex" sheetId="22" r:id="rId8"/>
    <sheet name="Bx" sheetId="23" r:id="rId9"/>
    <sheet name="FloatRates.com" sheetId="14" r:id="rId10"/>
  </sheets>
  <definedNames>
    <definedName name="BITFINEX">'REF-CryptoWat'!$F:$G</definedName>
    <definedName name="BITFINEX_PAIRS">OFFSET('REF-CryptoWat'!$F$1,5,0,COUNTA('REF-CryptoWat'!$F:$F)-2,1)</definedName>
    <definedName name="BITTREX_PAIRS">OFFSET('REF-Bittrex'!$O$1,1,0,COUNTA('REF-Bittrex'!$O:$O)-1,1)</definedName>
    <definedName name="BX_PAIRS">OFFSET('REF-BX.in.th'!$H$1,1,0,COUNTA('REF-BX.in.th'!$H:$I)-2,1)</definedName>
    <definedName name="EURTHB">FloatRates.com!$I$3</definedName>
    <definedName name="ExternalData_1" localSheetId="1" hidden="1">Example!$H$17:$I$19</definedName>
    <definedName name="ExternalData_1" localSheetId="9" hidden="1">FloatRates.com!$A$1:$G$81</definedName>
    <definedName name="ExternalData_1" localSheetId="4" hidden="1">'REF-Bittrex'!$A$1:$M$260</definedName>
    <definedName name="ExternalData_1" localSheetId="3" hidden="1">'REF-BX.in.th'!$A$1:$F$21</definedName>
    <definedName name="ExternalData_1" localSheetId="2" hidden="1">'REF-CryptoWat'!$A$1:$B$243</definedName>
    <definedName name="FIAT_PAIRS">OFFSET(FloatRates.com!$H$1,1,0,COUNTA(FloatRates.com!$H:$H)-1,1)</definedName>
    <definedName name="POLONIEX">'REF-CryptoWat'!$I$5:$J$46</definedName>
    <definedName name="POLONIEX_PAIRS">OFFSET('REF-CryptoWat'!$I$1,5,0,COUNTA('REF-CryptoWat'!$I:$I)-2,1)</definedName>
    <definedName name="USDTHB">FloatRates.com!$I$2</definedName>
    <definedName name="YOURCURRENCY">FloatRates.com!$K$2</definedName>
  </definedNames>
  <calcPr calcId="162913"/>
  <pivotCaches>
    <pivotCache cacheId="0" r:id="rId11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4" l="1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I2" i="14"/>
  <c r="I3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N2" i="19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N96" i="19"/>
  <c r="N97" i="19"/>
  <c r="N98" i="19"/>
  <c r="N99" i="19"/>
  <c r="N100" i="19"/>
  <c r="N101" i="19"/>
  <c r="N102" i="19"/>
  <c r="N103" i="19"/>
  <c r="N104" i="19"/>
  <c r="N105" i="19"/>
  <c r="N106" i="19"/>
  <c r="N107" i="19"/>
  <c r="N108" i="19"/>
  <c r="N109" i="19"/>
  <c r="N110" i="19"/>
  <c r="N111" i="19"/>
  <c r="N112" i="19"/>
  <c r="N113" i="19"/>
  <c r="N114" i="19"/>
  <c r="N115" i="19"/>
  <c r="N116" i="19"/>
  <c r="N117" i="19"/>
  <c r="N118" i="19"/>
  <c r="N119" i="19"/>
  <c r="N120" i="19"/>
  <c r="N121" i="19"/>
  <c r="N122" i="19"/>
  <c r="N123" i="19"/>
  <c r="N124" i="19"/>
  <c r="N125" i="19"/>
  <c r="N126" i="19"/>
  <c r="N127" i="19"/>
  <c r="N128" i="19"/>
  <c r="N129" i="19"/>
  <c r="N130" i="19"/>
  <c r="N131" i="19"/>
  <c r="N132" i="19"/>
  <c r="N133" i="19"/>
  <c r="N134" i="19"/>
  <c r="N135" i="19"/>
  <c r="N136" i="19"/>
  <c r="N137" i="19"/>
  <c r="N138" i="19"/>
  <c r="N139" i="19"/>
  <c r="N140" i="19"/>
  <c r="N141" i="19"/>
  <c r="N142" i="19"/>
  <c r="N143" i="19"/>
  <c r="N144" i="19"/>
  <c r="N145" i="19"/>
  <c r="N146" i="19"/>
  <c r="N147" i="19"/>
  <c r="N148" i="19"/>
  <c r="N149" i="19"/>
  <c r="N150" i="19"/>
  <c r="N151" i="19"/>
  <c r="N152" i="19"/>
  <c r="N153" i="19"/>
  <c r="N154" i="19"/>
  <c r="N155" i="19"/>
  <c r="N156" i="19"/>
  <c r="N157" i="19"/>
  <c r="N158" i="19"/>
  <c r="N159" i="19"/>
  <c r="N160" i="19"/>
  <c r="N161" i="19"/>
  <c r="N162" i="19"/>
  <c r="N163" i="19"/>
  <c r="N164" i="19"/>
  <c r="N165" i="19"/>
  <c r="N166" i="19"/>
  <c r="N167" i="19"/>
  <c r="N168" i="19"/>
  <c r="N169" i="19"/>
  <c r="N170" i="19"/>
  <c r="N171" i="19"/>
  <c r="N172" i="19"/>
  <c r="N173" i="19"/>
  <c r="N174" i="19"/>
  <c r="N175" i="19"/>
  <c r="N176" i="19"/>
  <c r="N177" i="19"/>
  <c r="N178" i="19"/>
  <c r="N179" i="19"/>
  <c r="N180" i="19"/>
  <c r="N181" i="19"/>
  <c r="N182" i="19"/>
  <c r="N183" i="19"/>
  <c r="N184" i="19"/>
  <c r="N185" i="19"/>
  <c r="N186" i="19"/>
  <c r="N187" i="19"/>
  <c r="N188" i="19"/>
  <c r="N189" i="19"/>
  <c r="N190" i="19"/>
  <c r="N191" i="19"/>
  <c r="N192" i="19"/>
  <c r="N193" i="19"/>
  <c r="N194" i="19"/>
  <c r="N195" i="19"/>
  <c r="N196" i="19"/>
  <c r="N197" i="19"/>
  <c r="N198" i="19"/>
  <c r="N199" i="19"/>
  <c r="N200" i="19"/>
  <c r="N201" i="19"/>
  <c r="N202" i="19"/>
  <c r="N203" i="19"/>
  <c r="N204" i="19"/>
  <c r="N205" i="19"/>
  <c r="N206" i="19"/>
  <c r="N207" i="19"/>
  <c r="N208" i="19"/>
  <c r="N209" i="19"/>
  <c r="N210" i="19"/>
  <c r="N211" i="19"/>
  <c r="N212" i="19"/>
  <c r="N213" i="19"/>
  <c r="N214" i="19"/>
  <c r="N215" i="19"/>
  <c r="N216" i="19"/>
  <c r="N217" i="19"/>
  <c r="N218" i="19"/>
  <c r="N219" i="19"/>
  <c r="N220" i="19"/>
  <c r="N221" i="19"/>
  <c r="N222" i="19"/>
  <c r="N223" i="19"/>
  <c r="N224" i="19"/>
  <c r="N225" i="19"/>
  <c r="N226" i="19"/>
  <c r="N227" i="19"/>
  <c r="N228" i="19"/>
  <c r="N229" i="19"/>
  <c r="N230" i="19"/>
  <c r="N231" i="19"/>
  <c r="N232" i="19"/>
  <c r="N233" i="19"/>
  <c r="N234" i="19"/>
  <c r="N235" i="19"/>
  <c r="N236" i="19"/>
  <c r="N237" i="19"/>
  <c r="N238" i="19"/>
  <c r="N239" i="19"/>
  <c r="N240" i="19"/>
  <c r="N241" i="19"/>
  <c r="N242" i="19"/>
  <c r="N243" i="19"/>
  <c r="N244" i="19"/>
  <c r="N245" i="19"/>
  <c r="N246" i="19"/>
  <c r="N247" i="19"/>
  <c r="N248" i="19"/>
  <c r="N249" i="19"/>
  <c r="N250" i="19"/>
  <c r="N251" i="19"/>
  <c r="N252" i="19"/>
  <c r="N253" i="19"/>
  <c r="N254" i="19"/>
  <c r="N255" i="19"/>
  <c r="N256" i="19"/>
  <c r="N257" i="19"/>
  <c r="N258" i="19"/>
  <c r="N259" i="19"/>
  <c r="N260" i="19"/>
  <c r="O2" i="19"/>
  <c r="O3" i="19"/>
  <c r="O4" i="19"/>
  <c r="O5" i="19"/>
  <c r="O6" i="19"/>
  <c r="O7" i="19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O96" i="19"/>
  <c r="O97" i="19"/>
  <c r="O98" i="19"/>
  <c r="O99" i="19"/>
  <c r="O100" i="19"/>
  <c r="O101" i="19"/>
  <c r="O102" i="19"/>
  <c r="O103" i="19"/>
  <c r="O104" i="19"/>
  <c r="O105" i="19"/>
  <c r="O106" i="19"/>
  <c r="O107" i="19"/>
  <c r="O108" i="19"/>
  <c r="O109" i="19"/>
  <c r="O110" i="19"/>
  <c r="O111" i="19"/>
  <c r="O112" i="19"/>
  <c r="O113" i="19"/>
  <c r="O114" i="19"/>
  <c r="O115" i="19"/>
  <c r="O116" i="19"/>
  <c r="O117" i="19"/>
  <c r="O118" i="19"/>
  <c r="O119" i="19"/>
  <c r="O120" i="19"/>
  <c r="O121" i="19"/>
  <c r="O122" i="19"/>
  <c r="O123" i="19"/>
  <c r="O124" i="19"/>
  <c r="O125" i="19"/>
  <c r="O126" i="19"/>
  <c r="O127" i="19"/>
  <c r="O128" i="19"/>
  <c r="O129" i="19"/>
  <c r="O130" i="19"/>
  <c r="O131" i="19"/>
  <c r="O132" i="19"/>
  <c r="O133" i="19"/>
  <c r="O134" i="19"/>
  <c r="O135" i="19"/>
  <c r="O136" i="19"/>
  <c r="O137" i="19"/>
  <c r="O138" i="19"/>
  <c r="O139" i="19"/>
  <c r="O140" i="19"/>
  <c r="O141" i="19"/>
  <c r="O142" i="19"/>
  <c r="O143" i="19"/>
  <c r="O144" i="19"/>
  <c r="O145" i="19"/>
  <c r="O146" i="19"/>
  <c r="O147" i="19"/>
  <c r="O148" i="19"/>
  <c r="O149" i="19"/>
  <c r="O150" i="19"/>
  <c r="O151" i="19"/>
  <c r="O152" i="19"/>
  <c r="O153" i="19"/>
  <c r="O154" i="19"/>
  <c r="O155" i="19"/>
  <c r="O156" i="19"/>
  <c r="O157" i="19"/>
  <c r="O158" i="19"/>
  <c r="O159" i="19"/>
  <c r="O160" i="19"/>
  <c r="O161" i="19"/>
  <c r="O162" i="19"/>
  <c r="O163" i="19"/>
  <c r="O164" i="19"/>
  <c r="O165" i="19"/>
  <c r="O166" i="19"/>
  <c r="O167" i="19"/>
  <c r="O168" i="19"/>
  <c r="O169" i="19"/>
  <c r="O170" i="19"/>
  <c r="O171" i="19"/>
  <c r="O172" i="19"/>
  <c r="O173" i="19"/>
  <c r="O174" i="19"/>
  <c r="O175" i="19"/>
  <c r="O176" i="19"/>
  <c r="O177" i="19"/>
  <c r="O178" i="19"/>
  <c r="O179" i="19"/>
  <c r="O180" i="19"/>
  <c r="O181" i="19"/>
  <c r="O182" i="19"/>
  <c r="O183" i="19"/>
  <c r="O184" i="19"/>
  <c r="O185" i="19"/>
  <c r="O186" i="19"/>
  <c r="O187" i="19"/>
  <c r="O188" i="19"/>
  <c r="O189" i="19"/>
  <c r="O190" i="19"/>
  <c r="O191" i="19"/>
  <c r="O192" i="19"/>
  <c r="O193" i="19"/>
  <c r="O194" i="19"/>
  <c r="O195" i="19"/>
  <c r="O196" i="19"/>
  <c r="O197" i="19"/>
  <c r="O198" i="19"/>
  <c r="O199" i="19"/>
  <c r="O200" i="19"/>
  <c r="O201" i="19"/>
  <c r="O202" i="19"/>
  <c r="O203" i="19"/>
  <c r="O204" i="19"/>
  <c r="O205" i="19"/>
  <c r="O206" i="19"/>
  <c r="O207" i="19"/>
  <c r="O208" i="19"/>
  <c r="O209" i="19"/>
  <c r="O210" i="19"/>
  <c r="O211" i="19"/>
  <c r="O212" i="19"/>
  <c r="O213" i="19"/>
  <c r="O214" i="19"/>
  <c r="O215" i="19"/>
  <c r="O216" i="19"/>
  <c r="O217" i="19"/>
  <c r="O218" i="19"/>
  <c r="O219" i="19"/>
  <c r="O220" i="19"/>
  <c r="O221" i="19"/>
  <c r="O222" i="19"/>
  <c r="O223" i="19"/>
  <c r="O224" i="19"/>
  <c r="O225" i="19"/>
  <c r="O226" i="19"/>
  <c r="O227" i="19"/>
  <c r="O228" i="19"/>
  <c r="O229" i="19"/>
  <c r="O230" i="19"/>
  <c r="O231" i="19"/>
  <c r="O232" i="19"/>
  <c r="O233" i="19"/>
  <c r="O234" i="19"/>
  <c r="O235" i="19"/>
  <c r="O236" i="19"/>
  <c r="O237" i="19"/>
  <c r="O238" i="19"/>
  <c r="O239" i="19"/>
  <c r="O240" i="19"/>
  <c r="O241" i="19"/>
  <c r="O242" i="19"/>
  <c r="O243" i="19"/>
  <c r="O244" i="19"/>
  <c r="O245" i="19"/>
  <c r="O246" i="19"/>
  <c r="O247" i="19"/>
  <c r="O248" i="19"/>
  <c r="O249" i="19"/>
  <c r="O250" i="19"/>
  <c r="O251" i="19"/>
  <c r="O252" i="19"/>
  <c r="O253" i="19"/>
  <c r="O254" i="19"/>
  <c r="O255" i="19"/>
  <c r="O256" i="19"/>
  <c r="O257" i="19"/>
  <c r="O258" i="19"/>
  <c r="O259" i="19"/>
  <c r="O260" i="19"/>
  <c r="P2" i="19"/>
  <c r="P3" i="19"/>
  <c r="P4" i="19"/>
  <c r="P5" i="19"/>
  <c r="P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62" i="19"/>
  <c r="P63" i="19"/>
  <c r="P64" i="19"/>
  <c r="P65" i="19"/>
  <c r="P66" i="19"/>
  <c r="P67" i="19"/>
  <c r="P68" i="19"/>
  <c r="P69" i="19"/>
  <c r="P70" i="19"/>
  <c r="P71" i="19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P93" i="19"/>
  <c r="P94" i="19"/>
  <c r="P95" i="19"/>
  <c r="P96" i="19"/>
  <c r="P97" i="19"/>
  <c r="P98" i="19"/>
  <c r="P99" i="19"/>
  <c r="P100" i="19"/>
  <c r="P101" i="19"/>
  <c r="P102" i="19"/>
  <c r="P103" i="19"/>
  <c r="P104" i="19"/>
  <c r="P105" i="19"/>
  <c r="P106" i="19"/>
  <c r="P107" i="19"/>
  <c r="P108" i="19"/>
  <c r="P109" i="19"/>
  <c r="P110" i="19"/>
  <c r="P111" i="19"/>
  <c r="P112" i="19"/>
  <c r="P113" i="19"/>
  <c r="P114" i="19"/>
  <c r="P115" i="19"/>
  <c r="P116" i="19"/>
  <c r="P117" i="19"/>
  <c r="P118" i="19"/>
  <c r="P119" i="19"/>
  <c r="P120" i="19"/>
  <c r="P121" i="19"/>
  <c r="P122" i="19"/>
  <c r="P123" i="19"/>
  <c r="P124" i="19"/>
  <c r="P125" i="19"/>
  <c r="P126" i="19"/>
  <c r="P127" i="19"/>
  <c r="P128" i="19"/>
  <c r="P129" i="19"/>
  <c r="P130" i="19"/>
  <c r="P131" i="19"/>
  <c r="P132" i="19"/>
  <c r="P133" i="19"/>
  <c r="P134" i="19"/>
  <c r="P135" i="19"/>
  <c r="P136" i="19"/>
  <c r="P137" i="19"/>
  <c r="P138" i="19"/>
  <c r="P139" i="19"/>
  <c r="P140" i="19"/>
  <c r="P141" i="19"/>
  <c r="P142" i="19"/>
  <c r="P143" i="19"/>
  <c r="P144" i="19"/>
  <c r="P145" i="19"/>
  <c r="P146" i="19"/>
  <c r="P147" i="19"/>
  <c r="P148" i="19"/>
  <c r="P149" i="19"/>
  <c r="P150" i="19"/>
  <c r="P151" i="19"/>
  <c r="P152" i="19"/>
  <c r="P153" i="19"/>
  <c r="P154" i="19"/>
  <c r="P155" i="19"/>
  <c r="P156" i="19"/>
  <c r="P157" i="19"/>
  <c r="P158" i="19"/>
  <c r="P159" i="19"/>
  <c r="P160" i="19"/>
  <c r="P161" i="19"/>
  <c r="P162" i="19"/>
  <c r="P163" i="19"/>
  <c r="P164" i="19"/>
  <c r="P165" i="19"/>
  <c r="P166" i="19"/>
  <c r="P167" i="19"/>
  <c r="P168" i="19"/>
  <c r="P169" i="19"/>
  <c r="P170" i="19"/>
  <c r="P171" i="19"/>
  <c r="P172" i="19"/>
  <c r="P173" i="19"/>
  <c r="P174" i="19"/>
  <c r="P175" i="19"/>
  <c r="P176" i="19"/>
  <c r="P177" i="19"/>
  <c r="P178" i="19"/>
  <c r="P179" i="19"/>
  <c r="P180" i="19"/>
  <c r="P181" i="19"/>
  <c r="P182" i="19"/>
  <c r="P183" i="19"/>
  <c r="P184" i="19"/>
  <c r="P185" i="19"/>
  <c r="P186" i="19"/>
  <c r="P187" i="19"/>
  <c r="P188" i="19"/>
  <c r="P189" i="19"/>
  <c r="P190" i="19"/>
  <c r="P191" i="19"/>
  <c r="P192" i="19"/>
  <c r="P193" i="19"/>
  <c r="P194" i="19"/>
  <c r="P195" i="19"/>
  <c r="P196" i="19"/>
  <c r="P197" i="19"/>
  <c r="P198" i="19"/>
  <c r="P199" i="19"/>
  <c r="P200" i="19"/>
  <c r="P201" i="19"/>
  <c r="P202" i="19"/>
  <c r="P203" i="19"/>
  <c r="P204" i="19"/>
  <c r="P205" i="19"/>
  <c r="P206" i="19"/>
  <c r="P207" i="19"/>
  <c r="P208" i="19"/>
  <c r="P209" i="19"/>
  <c r="P210" i="19"/>
  <c r="P211" i="19"/>
  <c r="P212" i="19"/>
  <c r="P213" i="19"/>
  <c r="P214" i="19"/>
  <c r="P215" i="19"/>
  <c r="P216" i="19"/>
  <c r="P217" i="19"/>
  <c r="P218" i="19"/>
  <c r="P219" i="19"/>
  <c r="P220" i="19"/>
  <c r="P221" i="19"/>
  <c r="P222" i="19"/>
  <c r="P223" i="19"/>
  <c r="P224" i="19"/>
  <c r="P225" i="19"/>
  <c r="P226" i="19"/>
  <c r="P227" i="19"/>
  <c r="P228" i="19"/>
  <c r="P229" i="19"/>
  <c r="P230" i="19"/>
  <c r="P231" i="19"/>
  <c r="P232" i="19"/>
  <c r="P233" i="19"/>
  <c r="P234" i="19"/>
  <c r="P235" i="19"/>
  <c r="P236" i="19"/>
  <c r="P237" i="19"/>
  <c r="P238" i="19"/>
  <c r="P239" i="19"/>
  <c r="P240" i="19"/>
  <c r="P241" i="19"/>
  <c r="P242" i="19"/>
  <c r="P243" i="19"/>
  <c r="P244" i="19"/>
  <c r="P245" i="19"/>
  <c r="P246" i="19"/>
  <c r="P247" i="19"/>
  <c r="P248" i="19"/>
  <c r="P249" i="19"/>
  <c r="P250" i="19"/>
  <c r="P251" i="19"/>
  <c r="P252" i="19"/>
  <c r="P253" i="19"/>
  <c r="P254" i="19"/>
  <c r="P255" i="19"/>
  <c r="P256" i="19"/>
  <c r="P257" i="19"/>
  <c r="P258" i="19"/>
  <c r="P259" i="19"/>
  <c r="P260" i="19"/>
  <c r="G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H2" i="12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C17" i="16" l="1"/>
  <c r="I11" i="16" l="1"/>
  <c r="D6" i="16" l="1"/>
  <c r="A2" i="22"/>
  <c r="A4" i="22"/>
  <c r="A8" i="22"/>
  <c r="A10" i="22"/>
  <c r="A12" i="22"/>
  <c r="A14" i="22"/>
  <c r="A16" i="22"/>
  <c r="A18" i="22"/>
  <c r="A20" i="22"/>
  <c r="A24" i="22"/>
  <c r="A26" i="22"/>
  <c r="A28" i="22"/>
  <c r="A32" i="22"/>
  <c r="A34" i="22"/>
  <c r="A36" i="22"/>
  <c r="A38" i="22"/>
  <c r="A40" i="22"/>
  <c r="A44" i="22"/>
  <c r="A46" i="22"/>
  <c r="A50" i="22"/>
  <c r="A52" i="22"/>
  <c r="A54" i="22"/>
  <c r="A56" i="22"/>
  <c r="A58" i="22"/>
  <c r="A60" i="22"/>
  <c r="A64" i="22"/>
  <c r="A66" i="22"/>
  <c r="A68" i="22"/>
  <c r="A70" i="22"/>
  <c r="A72" i="22"/>
  <c r="A74" i="22"/>
  <c r="A76" i="22"/>
  <c r="A78" i="22"/>
  <c r="A80" i="22"/>
  <c r="A82" i="22"/>
  <c r="A84" i="22"/>
  <c r="A86" i="22"/>
  <c r="A88" i="22"/>
  <c r="A90" i="22"/>
  <c r="A92" i="22"/>
  <c r="A96" i="22"/>
  <c r="A98" i="22"/>
  <c r="A100" i="22"/>
  <c r="A104" i="22"/>
  <c r="A106" i="22"/>
  <c r="A108" i="22"/>
  <c r="A110" i="22"/>
  <c r="A112" i="22"/>
  <c r="A114" i="22"/>
  <c r="A116" i="22"/>
  <c r="A118" i="22"/>
  <c r="A120" i="22"/>
  <c r="A122" i="22"/>
  <c r="A124" i="22"/>
  <c r="A126" i="22"/>
  <c r="A128" i="22"/>
  <c r="A132" i="22"/>
  <c r="A134" i="22"/>
  <c r="A136" i="22"/>
  <c r="A138" i="22"/>
  <c r="A140" i="22"/>
  <c r="A142" i="22"/>
  <c r="A144" i="22"/>
  <c r="A146" i="22"/>
  <c r="A148" i="22"/>
  <c r="A150" i="22"/>
  <c r="A152" i="22"/>
  <c r="A154" i="22"/>
  <c r="A156" i="22"/>
  <c r="A158" i="22"/>
  <c r="A160" i="22"/>
  <c r="A162" i="22"/>
  <c r="A164" i="22"/>
  <c r="A166" i="22"/>
  <c r="A168" i="22"/>
  <c r="A170" i="22"/>
  <c r="A172" i="22"/>
  <c r="A174" i="22"/>
  <c r="A176" i="22"/>
  <c r="A178" i="22"/>
  <c r="A180" i="22"/>
  <c r="A182" i="22"/>
  <c r="A184" i="22"/>
  <c r="A190" i="22"/>
  <c r="A192" i="22"/>
  <c r="A196" i="22"/>
  <c r="A198" i="22"/>
  <c r="A200" i="22"/>
  <c r="A204" i="22"/>
  <c r="A206" i="22"/>
  <c r="A208" i="22"/>
  <c r="A212" i="22"/>
  <c r="A214" i="22"/>
  <c r="A216" i="22"/>
  <c r="A218" i="22"/>
  <c r="A220" i="22"/>
  <c r="A222" i="22"/>
  <c r="A224" i="22"/>
  <c r="A228" i="22"/>
  <c r="A230" i="22"/>
  <c r="A232" i="22"/>
  <c r="A235" i="22"/>
  <c r="A236" i="22"/>
  <c r="A238" i="22"/>
  <c r="A239" i="22"/>
  <c r="A240" i="22"/>
  <c r="A244" i="22"/>
  <c r="A246" i="22"/>
  <c r="A248" i="22"/>
  <c r="A250" i="22"/>
  <c r="A252" i="22"/>
  <c r="A254" i="22"/>
  <c r="A255" i="22"/>
  <c r="A256" i="22"/>
  <c r="A258" i="22"/>
  <c r="B2" i="22"/>
  <c r="B3" i="22"/>
  <c r="B6" i="22"/>
  <c r="B7" i="22"/>
  <c r="B9" i="22"/>
  <c r="B11" i="22"/>
  <c r="B13" i="22"/>
  <c r="B15" i="22"/>
  <c r="B17" i="22"/>
  <c r="B18" i="22"/>
  <c r="B19" i="22"/>
  <c r="B21" i="22"/>
  <c r="B22" i="22"/>
  <c r="B23" i="22"/>
  <c r="B25" i="22"/>
  <c r="B26" i="22"/>
  <c r="B27" i="22"/>
  <c r="B29" i="22"/>
  <c r="B30" i="22"/>
  <c r="B31" i="22"/>
  <c r="B33" i="22"/>
  <c r="B35" i="22"/>
  <c r="B37" i="22"/>
  <c r="B39" i="22"/>
  <c r="B41" i="22"/>
  <c r="B43" i="22"/>
  <c r="B45" i="22"/>
  <c r="B46" i="22"/>
  <c r="B47" i="22"/>
  <c r="B49" i="22"/>
  <c r="B51" i="22"/>
  <c r="B55" i="22"/>
  <c r="B57" i="22"/>
  <c r="B59" i="22"/>
  <c r="B62" i="22"/>
  <c r="B63" i="22"/>
  <c r="B65" i="22"/>
  <c r="B66" i="22"/>
  <c r="B67" i="22"/>
  <c r="B69" i="22"/>
  <c r="B71" i="22"/>
  <c r="B75" i="22"/>
  <c r="B77" i="22"/>
  <c r="B78" i="22"/>
  <c r="B79" i="22"/>
  <c r="B81" i="22"/>
  <c r="B82" i="22"/>
  <c r="B83" i="22"/>
  <c r="B85" i="22"/>
  <c r="B89" i="22"/>
  <c r="B90" i="22"/>
  <c r="B91" i="22"/>
  <c r="B94" i="22"/>
  <c r="B95" i="22"/>
  <c r="B97" i="22"/>
  <c r="B99" i="22"/>
  <c r="B103" i="22"/>
  <c r="B105" i="22"/>
  <c r="B106" i="22"/>
  <c r="B107" i="22"/>
  <c r="B110" i="22"/>
  <c r="B111" i="22"/>
  <c r="B113" i="22"/>
  <c r="B115" i="22"/>
  <c r="B117" i="22"/>
  <c r="B118" i="22"/>
  <c r="B119" i="22"/>
  <c r="B123" i="22"/>
  <c r="B125" i="22"/>
  <c r="B126" i="22"/>
  <c r="B127" i="22"/>
  <c r="B129" i="22"/>
  <c r="B130" i="22"/>
  <c r="B131" i="22"/>
  <c r="B135" i="22"/>
  <c r="B137" i="22"/>
  <c r="B139" i="22"/>
  <c r="B141" i="22"/>
  <c r="B142" i="22"/>
  <c r="B143" i="22"/>
  <c r="B145" i="22"/>
  <c r="B146" i="22"/>
  <c r="B147" i="22"/>
  <c r="B151" i="22"/>
  <c r="B153" i="22"/>
  <c r="B154" i="22"/>
  <c r="B155" i="22"/>
  <c r="B157" i="22"/>
  <c r="B158" i="22"/>
  <c r="B159" i="22"/>
  <c r="B161" i="22"/>
  <c r="B163" i="22"/>
  <c r="B165" i="22"/>
  <c r="B167" i="22"/>
  <c r="B170" i="22"/>
  <c r="B171" i="22"/>
  <c r="B173" i="22"/>
  <c r="B174" i="22"/>
  <c r="B175" i="22"/>
  <c r="B177" i="22"/>
  <c r="B178" i="22"/>
  <c r="B179" i="22"/>
  <c r="B181" i="22"/>
  <c r="B183" i="22"/>
  <c r="B185" i="22"/>
  <c r="B187" i="22"/>
  <c r="B189" i="22"/>
  <c r="B190" i="22"/>
  <c r="B191" i="22"/>
  <c r="B195" i="22"/>
  <c r="B197" i="22"/>
  <c r="B198" i="22"/>
  <c r="B199" i="22"/>
  <c r="B201" i="22"/>
  <c r="B203" i="22"/>
  <c r="B205" i="22"/>
  <c r="B207" i="22"/>
  <c r="B209" i="22"/>
  <c r="B210" i="22"/>
  <c r="B211" i="22"/>
  <c r="B213" i="22"/>
  <c r="B214" i="22"/>
  <c r="B215" i="22"/>
  <c r="B217" i="22"/>
  <c r="B219" i="22"/>
  <c r="B221" i="22"/>
  <c r="B222" i="22"/>
  <c r="B223" i="22"/>
  <c r="B225" i="22"/>
  <c r="B227" i="22"/>
  <c r="B229" i="22"/>
  <c r="B233" i="22"/>
  <c r="B234" i="22"/>
  <c r="B235" i="22"/>
  <c r="B238" i="22"/>
  <c r="B239" i="22"/>
  <c r="B241" i="22"/>
  <c r="B243" i="22"/>
  <c r="B245" i="22"/>
  <c r="B246" i="22"/>
  <c r="B247" i="22"/>
  <c r="B250" i="22"/>
  <c r="B251" i="22"/>
  <c r="B253" i="22"/>
  <c r="B255" i="22"/>
  <c r="A2" i="23"/>
  <c r="A4" i="23"/>
  <c r="A5" i="23"/>
  <c r="A8" i="23"/>
  <c r="A9" i="23"/>
  <c r="A12" i="23"/>
  <c r="A13" i="23"/>
  <c r="A16" i="23"/>
  <c r="A17" i="23"/>
  <c r="A20" i="23"/>
  <c r="A21" i="23"/>
  <c r="B4" i="23"/>
  <c r="B5" i="23"/>
  <c r="B6" i="23"/>
  <c r="B9" i="23"/>
  <c r="B12" i="23"/>
  <c r="B13" i="23"/>
  <c r="B16" i="23"/>
  <c r="B17" i="23"/>
  <c r="B20" i="23"/>
  <c r="B21" i="23"/>
  <c r="A5" i="22"/>
  <c r="A6" i="22"/>
  <c r="A22" i="22"/>
  <c r="A25" i="22"/>
  <c r="A29" i="22"/>
  <c r="A30" i="22"/>
  <c r="A33" i="22"/>
  <c r="A37" i="22"/>
  <c r="A42" i="22"/>
  <c r="A45" i="22"/>
  <c r="A53" i="22"/>
  <c r="A61" i="22"/>
  <c r="A62" i="22"/>
  <c r="A65" i="22"/>
  <c r="A73" i="22"/>
  <c r="A85" i="22"/>
  <c r="A93" i="22"/>
  <c r="A94" i="22"/>
  <c r="A97" i="22"/>
  <c r="A101" i="22"/>
  <c r="A105" i="22"/>
  <c r="A109" i="22"/>
  <c r="A113" i="22"/>
  <c r="A117" i="22"/>
  <c r="A121" i="22"/>
  <c r="A129" i="22"/>
  <c r="A130" i="22"/>
  <c r="A133" i="22"/>
  <c r="A141" i="22"/>
  <c r="A145" i="22"/>
  <c r="A149" i="22"/>
  <c r="A153" i="22"/>
  <c r="A157" i="22"/>
  <c r="A161" i="22"/>
  <c r="A165" i="22"/>
  <c r="A169" i="22"/>
  <c r="A177" i="22"/>
  <c r="A181" i="22"/>
  <c r="A185" i="22"/>
  <c r="A186" i="22"/>
  <c r="A189" i="22"/>
  <c r="A193" i="22"/>
  <c r="A194" i="22"/>
  <c r="A197" i="22"/>
  <c r="A201" i="22"/>
  <c r="A202" i="22"/>
  <c r="A205" i="22"/>
  <c r="A209" i="22"/>
  <c r="A210" i="22"/>
  <c r="A221" i="22"/>
  <c r="A226" i="22"/>
  <c r="A229" i="22"/>
  <c r="A233" i="22"/>
  <c r="A234" i="22"/>
  <c r="A237" i="22"/>
  <c r="A241" i="22"/>
  <c r="A242" i="22"/>
  <c r="A245" i="22"/>
  <c r="A249" i="22"/>
  <c r="A253" i="22"/>
  <c r="A257" i="22"/>
  <c r="B10" i="22"/>
  <c r="B14" i="22"/>
  <c r="B38" i="22"/>
  <c r="B50" i="22"/>
  <c r="B54" i="22"/>
  <c r="B70" i="22"/>
  <c r="B74" i="22"/>
  <c r="B86" i="22"/>
  <c r="B87" i="22"/>
  <c r="B98" i="22"/>
  <c r="B102" i="22"/>
  <c r="B114" i="22"/>
  <c r="B122" i="22"/>
  <c r="B134" i="22"/>
  <c r="B138" i="22"/>
  <c r="B150" i="22"/>
  <c r="B166" i="22"/>
  <c r="B182" i="22"/>
  <c r="B186" i="22"/>
  <c r="B202" i="22"/>
  <c r="B206" i="22"/>
  <c r="B218" i="22"/>
  <c r="B231" i="22"/>
  <c r="B242" i="22"/>
  <c r="B254" i="22"/>
  <c r="B8" i="23"/>
  <c r="A3" i="22"/>
  <c r="A7" i="22"/>
  <c r="A19" i="22"/>
  <c r="A27" i="22"/>
  <c r="A39" i="22"/>
  <c r="A47" i="22"/>
  <c r="A48" i="22"/>
  <c r="A63" i="22"/>
  <c r="A67" i="22"/>
  <c r="A75" i="22"/>
  <c r="A79" i="22"/>
  <c r="A103" i="22"/>
  <c r="A115" i="22"/>
  <c r="A119" i="22"/>
  <c r="A127" i="22"/>
  <c r="A139" i="22"/>
  <c r="A151" i="22"/>
  <c r="A167" i="22"/>
  <c r="A171" i="22"/>
  <c r="A175" i="22"/>
  <c r="A183" i="22"/>
  <c r="A187" i="22"/>
  <c r="A188" i="22"/>
  <c r="A191" i="22"/>
  <c r="A203" i="22"/>
  <c r="A207" i="22"/>
  <c r="A211" i="22"/>
  <c r="A231" i="22"/>
  <c r="A243" i="22"/>
  <c r="A247" i="22"/>
  <c r="B42" i="22"/>
  <c r="B58" i="22"/>
  <c r="B162" i="22"/>
  <c r="B194" i="22"/>
  <c r="B258" i="22"/>
  <c r="A102" i="22"/>
  <c r="C15" i="16"/>
  <c r="A11" i="22"/>
  <c r="A23" i="22"/>
  <c r="A35" i="22"/>
  <c r="A43" i="22"/>
  <c r="A51" i="22"/>
  <c r="A59" i="22"/>
  <c r="A71" i="22"/>
  <c r="A99" i="22"/>
  <c r="A107" i="22"/>
  <c r="A123" i="22"/>
  <c r="A131" i="22"/>
  <c r="A155" i="22"/>
  <c r="A163" i="22"/>
  <c r="A199" i="22"/>
  <c r="A219" i="22"/>
  <c r="A227" i="22"/>
  <c r="A251" i="22"/>
  <c r="B34" i="22"/>
  <c r="A9" i="22"/>
  <c r="A21" i="22"/>
  <c r="A49" i="22"/>
  <c r="A57" i="22"/>
  <c r="A81" i="22"/>
  <c r="A89" i="22"/>
  <c r="A125" i="22"/>
  <c r="A137" i="22"/>
  <c r="A173" i="22"/>
  <c r="A213" i="22"/>
  <c r="A14" i="23"/>
  <c r="A18" i="23"/>
  <c r="B2" i="23"/>
  <c r="B10" i="23"/>
  <c r="B14" i="23"/>
  <c r="B18" i="23"/>
  <c r="A95" i="22"/>
  <c r="A135" i="22"/>
  <c r="A159" i="22"/>
  <c r="A195" i="22"/>
  <c r="A223" i="22"/>
  <c r="B5" i="22"/>
  <c r="B8" i="22"/>
  <c r="B16" i="22"/>
  <c r="B20" i="22"/>
  <c r="B24" i="22"/>
  <c r="B28" i="22"/>
  <c r="B32" i="22"/>
  <c r="B36" i="22"/>
  <c r="B44" i="22"/>
  <c r="B48" i="22"/>
  <c r="B52" i="22"/>
  <c r="B53" i="22"/>
  <c r="B56" i="22"/>
  <c r="B60" i="22"/>
  <c r="B61" i="22"/>
  <c r="B72" i="22"/>
  <c r="B73" i="22"/>
  <c r="B80" i="22"/>
  <c r="B84" i="22"/>
  <c r="B88" i="22"/>
  <c r="B92" i="22"/>
  <c r="B93" i="22"/>
  <c r="B108" i="22"/>
  <c r="B109" i="22"/>
  <c r="B112" i="22"/>
  <c r="B116" i="22"/>
  <c r="B120" i="22"/>
  <c r="B124" i="22"/>
  <c r="B140" i="22"/>
  <c r="B144" i="22"/>
  <c r="B148" i="22"/>
  <c r="B149" i="22"/>
  <c r="B152" i="22"/>
  <c r="B156" i="22"/>
  <c r="B169" i="22"/>
  <c r="B172" i="22"/>
  <c r="B176" i="22"/>
  <c r="B180" i="22"/>
  <c r="B184" i="22"/>
  <c r="B188" i="22"/>
  <c r="B193" i="22"/>
  <c r="B204" i="22"/>
  <c r="B208" i="22"/>
  <c r="B212" i="22"/>
  <c r="B216" i="22"/>
  <c r="B220" i="22"/>
  <c r="B236" i="22"/>
  <c r="B237" i="22"/>
  <c r="B240" i="22"/>
  <c r="B249" i="22"/>
  <c r="B252" i="22"/>
  <c r="B256" i="22"/>
  <c r="B257" i="22"/>
  <c r="A13" i="22"/>
  <c r="A69" i="22"/>
  <c r="A77" i="22"/>
  <c r="A217" i="22"/>
  <c r="A225" i="22"/>
  <c r="A3" i="23"/>
  <c r="B3" i="23"/>
  <c r="A6" i="23"/>
  <c r="A7" i="23"/>
  <c r="B7" i="23"/>
  <c r="A10" i="23"/>
  <c r="A11" i="23"/>
  <c r="B11" i="23"/>
  <c r="A15" i="23"/>
  <c r="B15" i="23"/>
  <c r="A19" i="23"/>
  <c r="B19" i="23"/>
  <c r="B4" i="22"/>
  <c r="B12" i="22"/>
  <c r="A15" i="22"/>
  <c r="A17" i="22"/>
  <c r="A31" i="22"/>
  <c r="B40" i="22"/>
  <c r="A41" i="22"/>
  <c r="A55" i="22"/>
  <c r="B64" i="22"/>
  <c r="B68" i="22"/>
  <c r="B76" i="22"/>
  <c r="A83" i="22"/>
  <c r="A87" i="22"/>
  <c r="A91" i="22"/>
  <c r="B96" i="22"/>
  <c r="B100" i="22"/>
  <c r="B101" i="22"/>
  <c r="B104" i="22"/>
  <c r="A111" i="22"/>
  <c r="B121" i="22"/>
  <c r="B128" i="22"/>
  <c r="B132" i="22"/>
  <c r="B133" i="22"/>
  <c r="B136" i="22"/>
  <c r="A143" i="22"/>
  <c r="A147" i="22"/>
  <c r="B160" i="22"/>
  <c r="B164" i="22"/>
  <c r="B168" i="22"/>
  <c r="A179" i="22"/>
  <c r="B192" i="22"/>
  <c r="B196" i="22"/>
  <c r="B200" i="22"/>
  <c r="A215" i="22"/>
  <c r="B224" i="22"/>
  <c r="B226" i="22"/>
  <c r="B228" i="22"/>
  <c r="B230" i="22"/>
  <c r="B232" i="22"/>
  <c r="B244" i="22"/>
  <c r="B248" i="22"/>
  <c r="A2" i="20"/>
  <c r="B2" i="20"/>
  <c r="A3" i="20"/>
  <c r="B3" i="20"/>
  <c r="A4" i="20"/>
  <c r="B4" i="20"/>
  <c r="A5" i="20"/>
  <c r="B5" i="20"/>
  <c r="A6" i="20"/>
  <c r="B6" i="20"/>
  <c r="A7" i="20"/>
  <c r="B7" i="20"/>
  <c r="A8" i="20"/>
  <c r="B8" i="20"/>
  <c r="A9" i="20"/>
  <c r="B9" i="20"/>
  <c r="A10" i="20"/>
  <c r="B10" i="20"/>
  <c r="A11" i="20"/>
  <c r="B11" i="20"/>
  <c r="A12" i="20"/>
  <c r="B12" i="20"/>
  <c r="A13" i="20"/>
  <c r="B13" i="20"/>
  <c r="A14" i="20"/>
  <c r="B14" i="20"/>
  <c r="A15" i="20"/>
  <c r="B15" i="20"/>
  <c r="A16" i="20"/>
  <c r="B16" i="20"/>
  <c r="A17" i="20"/>
  <c r="B17" i="20"/>
  <c r="A18" i="20"/>
  <c r="B18" i="20"/>
  <c r="A19" i="20"/>
  <c r="B19" i="20"/>
  <c r="A20" i="20"/>
  <c r="B20" i="20"/>
  <c r="A21" i="20"/>
  <c r="B21" i="20"/>
  <c r="A22" i="20"/>
  <c r="B22" i="20"/>
  <c r="A23" i="20"/>
  <c r="B23" i="20"/>
  <c r="A24" i="20"/>
  <c r="B24" i="20"/>
  <c r="A25" i="20"/>
  <c r="B25" i="20"/>
  <c r="A26" i="20"/>
  <c r="B26" i="20"/>
  <c r="A27" i="20"/>
  <c r="B27" i="20"/>
  <c r="A28" i="20"/>
  <c r="B28" i="20"/>
  <c r="A29" i="20"/>
  <c r="B29" i="20"/>
  <c r="A30" i="20"/>
  <c r="B30" i="20"/>
  <c r="A31" i="20"/>
  <c r="B31" i="20"/>
  <c r="A32" i="20"/>
  <c r="B32" i="20"/>
  <c r="A33" i="20"/>
  <c r="B33" i="20"/>
  <c r="C14" i="16"/>
  <c r="H11" i="16" l="1"/>
  <c r="H12" i="16"/>
  <c r="H13" i="16"/>
  <c r="G11" i="16"/>
  <c r="G13" i="16"/>
  <c r="G12" i="16"/>
  <c r="D5" i="16"/>
  <c r="D8" i="16"/>
  <c r="D7" i="16"/>
</calcChain>
</file>

<file path=xl/connections.xml><?xml version="1.0" encoding="utf-8"?>
<connections xmlns="http://schemas.openxmlformats.org/spreadsheetml/2006/main">
  <connection id="1" keepAlive="1" name="Query - bittrex" description="Connection to the 'bittrex' query in the workbook." type="5" refreshedVersion="6" background="1" saveData="1">
    <dbPr connection="Provider=Microsoft.Mashup.OleDb.1;Data Source=$Workbook$;Location=bittrex;Extended Properties=&quot;&quot;" command="SELECT * FROM [bittrex]"/>
  </connection>
  <connection id="2" keepAlive="1" name="Query - bx" description="Connection to the 'bx' query in the workbook." type="5" refreshedVersion="6" background="1" saveData="1">
    <dbPr connection="Provider=Microsoft.Mashup.OleDb.1;Data Source=$Workbook$;Location=bx;Extended Properties=&quot;&quot;" command="SELECT * FROM [bx]"/>
  </connection>
  <connection id="3" keepAlive="1" name="Query - cryptowat" description="Connection to the 'cryptowat' query in the workbook." type="5" refreshedVersion="6" background="1" saveData="1">
    <dbPr connection="Provider=Microsoft.Mashup.OleDb.1;Data Source=$Workbook$;Location=cryptowat;Extended Properties=&quot;&quot;" command="SELECT * FROM [cryptowat]"/>
  </connection>
  <connection id="4" keepAlive="1" name="Query - cryptowat-apilimit" description="Connection to the 'cryptowat-apilimit' query in the workbook." type="5" refreshedVersion="6" background="1" saveData="1">
    <dbPr connection="Provider=Microsoft.Mashup.OleDb.1;Data Source=$Workbook$;Location=cryptowat-apilimit;Extended Properties=&quot;&quot;" command="SELECT * FROM [cryptowat-apilimit]"/>
  </connection>
  <connection id="5" keepAlive="1" name="Query - FloatRates" description="Connection to the 'FloatRates' query in the workbook." type="5" refreshedVersion="6" background="1" saveData="1">
    <dbPr connection="Provider=Microsoft.Mashup.OleDb.1;Data Source=$Workbook$;Location=FloatRates;Extended Properties=&quot;&quot;" command="SELECT * FROM [FloatRates]"/>
  </connection>
</connections>
</file>

<file path=xl/sharedStrings.xml><?xml version="1.0" encoding="utf-8"?>
<sst xmlns="http://schemas.openxmlformats.org/spreadsheetml/2006/main" count="1790" uniqueCount="1480">
  <si>
    <t>Licensed under the Apache License, Version 2.0 (the "License");</t>
  </si>
  <si>
    <t>you may not use this file except in compliance with the License.</t>
  </si>
  <si>
    <t>You may obtain a copy of the License at</t>
  </si>
  <si>
    <t xml:space="preserve">    http://www.apache.org/licenses/LICENSE-2.0</t>
  </si>
  <si>
    <t>Unless required by applicable law or agreed to in writing, software</t>
  </si>
  <si>
    <t>distributed under the License is distributed on an "AS IS" BASIS,</t>
  </si>
  <si>
    <t>WITHOUT WARRANTIES OR CONDITIONS OF ANY KIND, either express or implied.</t>
  </si>
  <si>
    <t>See the License for the specific language governing permissions and</t>
  </si>
  <si>
    <t>limitations under the License.</t>
  </si>
  <si>
    <t>Copyright 2017 Vorapoap Lohwongwatana</t>
  </si>
  <si>
    <t>BTC:</t>
  </si>
  <si>
    <t>13SsoAUNv1KobhnDSZytLo71NHAGu9XxUd</t>
  </si>
  <si>
    <t>OMG:</t>
  </si>
  <si>
    <t>0x1E0d07890Cb550F18eE6B80dC5739CFe776C72b5</t>
  </si>
  <si>
    <t>ETH:</t>
  </si>
  <si>
    <t>Donations Welcome</t>
  </si>
  <si>
    <t>BITFINEX</t>
  </si>
  <si>
    <t>Ticker</t>
  </si>
  <si>
    <t>Source</t>
  </si>
  <si>
    <t>Bitfinex</t>
  </si>
  <si>
    <t>bitfinex</t>
  </si>
  <si>
    <t>bccbtc</t>
  </si>
  <si>
    <t>bccusd</t>
  </si>
  <si>
    <t>bchbtc</t>
  </si>
  <si>
    <t>bcheth</t>
  </si>
  <si>
    <t>bchusd</t>
  </si>
  <si>
    <t>bcubtc</t>
  </si>
  <si>
    <t>bcuusd</t>
  </si>
  <si>
    <t>bfxusd</t>
  </si>
  <si>
    <t>btcusd</t>
  </si>
  <si>
    <t>btsbtc</t>
  </si>
  <si>
    <t>daobtc</t>
  </si>
  <si>
    <t>daoeth</t>
  </si>
  <si>
    <t>dashbtc</t>
  </si>
  <si>
    <t>dashusd</t>
  </si>
  <si>
    <t>dgbbtc</t>
  </si>
  <si>
    <t>eosbtc</t>
  </si>
  <si>
    <t>eoseth</t>
  </si>
  <si>
    <t>eosusd</t>
  </si>
  <si>
    <t>etcbtc</t>
  </si>
  <si>
    <t>etceth</t>
  </si>
  <si>
    <t>etcusd</t>
  </si>
  <si>
    <t>ethbtc</t>
  </si>
  <si>
    <t>ethusd</t>
  </si>
  <si>
    <t>fctbtc</t>
  </si>
  <si>
    <t>gnobtc</t>
  </si>
  <si>
    <t>gnoeth</t>
  </si>
  <si>
    <t>gntbtc</t>
  </si>
  <si>
    <t>iotbtc</t>
  </si>
  <si>
    <t>ioteth</t>
  </si>
  <si>
    <t>iotusd</t>
  </si>
  <si>
    <t>lskbtc</t>
  </si>
  <si>
    <t>lsketh</t>
  </si>
  <si>
    <t>ltcbtc</t>
  </si>
  <si>
    <t>ltcusd</t>
  </si>
  <si>
    <t>ltcxmr</t>
  </si>
  <si>
    <t>maidbtc</t>
  </si>
  <si>
    <t>navbtc</t>
  </si>
  <si>
    <t>nxtbtc</t>
  </si>
  <si>
    <t>nxtusd</t>
  </si>
  <si>
    <t>nxtxmr</t>
  </si>
  <si>
    <t>omgbtc</t>
  </si>
  <si>
    <t>omgeth</t>
  </si>
  <si>
    <t>omgusd</t>
  </si>
  <si>
    <t>repbtc</t>
  </si>
  <si>
    <t>repeth</t>
  </si>
  <si>
    <t>repusd</t>
  </si>
  <si>
    <t>sdcbtc</t>
  </si>
  <si>
    <t>stratbtc</t>
  </si>
  <si>
    <t>strbtc</t>
  </si>
  <si>
    <t>strusd</t>
  </si>
  <si>
    <t>xmrbtc</t>
  </si>
  <si>
    <t>xmrusd</t>
  </si>
  <si>
    <t>xrpbtc</t>
  </si>
  <si>
    <t>xrpusd</t>
  </si>
  <si>
    <t>zecbtc</t>
  </si>
  <si>
    <t>zeceth</t>
  </si>
  <si>
    <t>zecusd</t>
  </si>
  <si>
    <t>zecxmr</t>
  </si>
  <si>
    <t>Rate</t>
  </si>
  <si>
    <t>Invert</t>
  </si>
  <si>
    <t>Table Name</t>
  </si>
  <si>
    <t>USDTHB</t>
  </si>
  <si>
    <t>Fiat Currency</t>
  </si>
  <si>
    <t>EURTHB</t>
  </si>
  <si>
    <t>Dropdown list =&gt;</t>
  </si>
  <si>
    <t>FullTicker</t>
  </si>
  <si>
    <t>CRYPTOWAT</t>
  </si>
  <si>
    <t>POLONIEX</t>
  </si>
  <si>
    <t>BITFINEX_PAIRS</t>
  </si>
  <si>
    <t>POLONIEX_PAIRS</t>
  </si>
  <si>
    <t>(Data Validation)</t>
  </si>
  <si>
    <t>BITTREX_PAIRS</t>
  </si>
  <si>
    <t>btcomg</t>
  </si>
  <si>
    <t>BX_PAIRS</t>
  </si>
  <si>
    <t>btcthb</t>
  </si>
  <si>
    <t>VLOOKUP</t>
  </si>
  <si>
    <t>Bx</t>
  </si>
  <si>
    <t>Exchange Rate</t>
  </si>
  <si>
    <t>Bitcoin</t>
  </si>
  <si>
    <t>OmiseGo</t>
  </si>
  <si>
    <t>Ethereum</t>
  </si>
  <si>
    <t>Cryptowat API Limit</t>
  </si>
  <si>
    <t xml:space="preserve">Right click to copy above button and paste anywhere in your worksheet </t>
  </si>
  <si>
    <t>AUTO CRYPTO CURRENCY DATA - BX, BITFINEX, POLONIEX, BITTREX</t>
  </si>
  <si>
    <t>Name</t>
  </si>
  <si>
    <t>Value.primary_currency</t>
  </si>
  <si>
    <t>Value.secondary_currency</t>
  </si>
  <si>
    <t>Value.change</t>
  </si>
  <si>
    <t>Value.last_price</t>
  </si>
  <si>
    <t>Value.volume_24hours</t>
  </si>
  <si>
    <t>1</t>
  </si>
  <si>
    <t>THB</t>
  </si>
  <si>
    <t>BTC</t>
  </si>
  <si>
    <t>21</t>
  </si>
  <si>
    <t>ETH</t>
  </si>
  <si>
    <t>22</t>
  </si>
  <si>
    <t>DAS</t>
  </si>
  <si>
    <t>23</t>
  </si>
  <si>
    <t>REP</t>
  </si>
  <si>
    <t>20</t>
  </si>
  <si>
    <t>4</t>
  </si>
  <si>
    <t>DOG</t>
  </si>
  <si>
    <t>6</t>
  </si>
  <si>
    <t>FTC</t>
  </si>
  <si>
    <t>24</t>
  </si>
  <si>
    <t>GNO</t>
  </si>
  <si>
    <t>13</t>
  </si>
  <si>
    <t>HYP</t>
  </si>
  <si>
    <t>2</t>
  </si>
  <si>
    <t>LTC</t>
  </si>
  <si>
    <t>3</t>
  </si>
  <si>
    <t>NMC</t>
  </si>
  <si>
    <t>26</t>
  </si>
  <si>
    <t>OMG</t>
  </si>
  <si>
    <t>14</t>
  </si>
  <si>
    <t>PND</t>
  </si>
  <si>
    <t>5</t>
  </si>
  <si>
    <t>PPC</t>
  </si>
  <si>
    <t>19</t>
  </si>
  <si>
    <t>QRK</t>
  </si>
  <si>
    <t>15</t>
  </si>
  <si>
    <t>XCN</t>
  </si>
  <si>
    <t>7</t>
  </si>
  <si>
    <t>XPM</t>
  </si>
  <si>
    <t>17</t>
  </si>
  <si>
    <t>XPY</t>
  </si>
  <si>
    <t>25</t>
  </si>
  <si>
    <t>XRP</t>
  </si>
  <si>
    <t>8</t>
  </si>
  <si>
    <t>ZEC</t>
  </si>
  <si>
    <t>Value</t>
  </si>
  <si>
    <t>bitfinex:bccbtc</t>
  </si>
  <si>
    <t>bitfinex:bccusd</t>
  </si>
  <si>
    <t>bitfinex:bchbtc</t>
  </si>
  <si>
    <t>bitfinex:bcheth</t>
  </si>
  <si>
    <t>bitfinex:bchusd</t>
  </si>
  <si>
    <t>bitfinex:bcubtc</t>
  </si>
  <si>
    <t>bitfinex:bcuusd</t>
  </si>
  <si>
    <t>bitfinex:bfxusd</t>
  </si>
  <si>
    <t>bitfinex:btcusd</t>
  </si>
  <si>
    <t>bitfinex:dashbtc</t>
  </si>
  <si>
    <t>bitfinex:dashusd</t>
  </si>
  <si>
    <t>bitfinex:eosbtc</t>
  </si>
  <si>
    <t>bitfinex:eoseth</t>
  </si>
  <si>
    <t>bitfinex:eosusd</t>
  </si>
  <si>
    <t>bitfinex:etcbtc</t>
  </si>
  <si>
    <t>bitfinex:etcusd</t>
  </si>
  <si>
    <t>bitfinex:ethbtc</t>
  </si>
  <si>
    <t>bitfinex:ethusd</t>
  </si>
  <si>
    <t>bitfinex:iotbtc</t>
  </si>
  <si>
    <t>bitfinex:ioteth</t>
  </si>
  <si>
    <t>bitfinex:iotusd</t>
  </si>
  <si>
    <t>bitfinex:ltcbtc</t>
  </si>
  <si>
    <t>bitfinex:ltcusd</t>
  </si>
  <si>
    <t>bitfinex:omgbtc</t>
  </si>
  <si>
    <t>bitfinex:omgeth</t>
  </si>
  <si>
    <t>bitfinex:omgusd</t>
  </si>
  <si>
    <t>bitfinex:xmrbtc</t>
  </si>
  <si>
    <t>bitfinex:xmrusd</t>
  </si>
  <si>
    <t>bitfinex:xrpbtc</t>
  </si>
  <si>
    <t>bitfinex:xrpusd</t>
  </si>
  <si>
    <t>bitfinex:zecbtc</t>
  </si>
  <si>
    <t>bitfinex:zecusd</t>
  </si>
  <si>
    <t>bitflyer:bchbtc</t>
  </si>
  <si>
    <t>bitflyer:btcfxjpy</t>
  </si>
  <si>
    <t>bitflyer:btcjpy</t>
  </si>
  <si>
    <t>bitflyer:btcjpy-biweekly-futures</t>
  </si>
  <si>
    <t>bitflyer:btcjpy-weekly-futures</t>
  </si>
  <si>
    <t>bitflyer:ethbtc</t>
  </si>
  <si>
    <t>bithumb:bchkrw</t>
  </si>
  <si>
    <t>bithumb:btckrw</t>
  </si>
  <si>
    <t>bithumb:dashkrw</t>
  </si>
  <si>
    <t>bithumb:etckrw</t>
  </si>
  <si>
    <t>bithumb:ethkrw</t>
  </si>
  <si>
    <t>bithumb:ltckrw</t>
  </si>
  <si>
    <t>bithumb:xmrkrw</t>
  </si>
  <si>
    <t>bithumb:xrpkrw</t>
  </si>
  <si>
    <t>bitmex:xbt-monthly-futures</t>
  </si>
  <si>
    <t>bitmex:xbt-perpetual-futures</t>
  </si>
  <si>
    <t>bitsquare:btcaud</t>
  </si>
  <si>
    <t>bitsquare:btceur</t>
  </si>
  <si>
    <t>bitsquare:btcusd</t>
  </si>
  <si>
    <t>bitsquare:etcbtc</t>
  </si>
  <si>
    <t>bitsquare:ethbtc</t>
  </si>
  <si>
    <t>bitsquare:ltcbtc</t>
  </si>
  <si>
    <t>bitstamp:btceur</t>
  </si>
  <si>
    <t>bitstamp:btcusd</t>
  </si>
  <si>
    <t>bitstamp:ethbtc</t>
  </si>
  <si>
    <t>bitstamp:etheur</t>
  </si>
  <si>
    <t>bitstamp:ethusd</t>
  </si>
  <si>
    <t>bitstamp:eurusd</t>
  </si>
  <si>
    <t>bitstamp:ltcbtc</t>
  </si>
  <si>
    <t>bitstamp:ltceur</t>
  </si>
  <si>
    <t>bitstamp:ltcusd</t>
  </si>
  <si>
    <t>bitstamp:xrpbtc</t>
  </si>
  <si>
    <t>bitstamp:xrpeur</t>
  </si>
  <si>
    <t>bitstamp:xrpusd</t>
  </si>
  <si>
    <t>bitvc:btccny-quarterly-futures</t>
  </si>
  <si>
    <t>bitvc:btccny-weekly-futures</t>
  </si>
  <si>
    <t>bitvc:ltccny-quarterly-futures</t>
  </si>
  <si>
    <t>bitvc:ltccny-weekly-futures</t>
  </si>
  <si>
    <t>btc-china:btccny</t>
  </si>
  <si>
    <t>btc-china:ltcbtc</t>
  </si>
  <si>
    <t>btc-china:ltccny</t>
  </si>
  <si>
    <t>cexio:bchusd</t>
  </si>
  <si>
    <t>cexio:btceur</t>
  </si>
  <si>
    <t>cexio:btcusd</t>
  </si>
  <si>
    <t>cexio:ethbtc</t>
  </si>
  <si>
    <t>cexio:ltcbtc</t>
  </si>
  <si>
    <t>cexio:ltcusd</t>
  </si>
  <si>
    <t>gdax:btceur</t>
  </si>
  <si>
    <t>gdax:btcgbp</t>
  </si>
  <si>
    <t>gdax:btcusd</t>
  </si>
  <si>
    <t>gdax:ethbtc</t>
  </si>
  <si>
    <t>gdax:etheur</t>
  </si>
  <si>
    <t>gdax:ethusd</t>
  </si>
  <si>
    <t>gdax:ltcbtc</t>
  </si>
  <si>
    <t>gdax:ltceur</t>
  </si>
  <si>
    <t>gdax:ltcusd</t>
  </si>
  <si>
    <t>gemini:btcusd</t>
  </si>
  <si>
    <t>gemini:ethbtc</t>
  </si>
  <si>
    <t>gemini:ethusd</t>
  </si>
  <si>
    <t>huobi:btccny</t>
  </si>
  <si>
    <t>huobi:ltccny</t>
  </si>
  <si>
    <t>kraken:bchbtc</t>
  </si>
  <si>
    <t>kraken:bcheur</t>
  </si>
  <si>
    <t>kraken:bchusd</t>
  </si>
  <si>
    <t>kraken:btccad</t>
  </si>
  <si>
    <t>kraken:btceur</t>
  </si>
  <si>
    <t>kraken:btcgbp</t>
  </si>
  <si>
    <t>kraken:btcjpy</t>
  </si>
  <si>
    <t>kraken:btcusd</t>
  </si>
  <si>
    <t>kraken:dashbtc</t>
  </si>
  <si>
    <t>kraken:dasheur</t>
  </si>
  <si>
    <t>kraken:dashusd</t>
  </si>
  <si>
    <t>kraken:dogebtc</t>
  </si>
  <si>
    <t>kraken:eosbtc</t>
  </si>
  <si>
    <t>kraken:eoseth</t>
  </si>
  <si>
    <t>kraken:eoseur</t>
  </si>
  <si>
    <t>kraken:eosusd</t>
  </si>
  <si>
    <t>kraken:etcbtc</t>
  </si>
  <si>
    <t>kraken:etceth</t>
  </si>
  <si>
    <t>kraken:etceur</t>
  </si>
  <si>
    <t>kraken:etcusd</t>
  </si>
  <si>
    <t>kraken:ethbtc</t>
  </si>
  <si>
    <t>kraken:ethcad</t>
  </si>
  <si>
    <t>kraken:etheur</t>
  </si>
  <si>
    <t>kraken:ethgbp</t>
  </si>
  <si>
    <t>kraken:ethjpy</t>
  </si>
  <si>
    <t>kraken:ethusd</t>
  </si>
  <si>
    <t>kraken:gnobtc</t>
  </si>
  <si>
    <t>kraken:gnoeth</t>
  </si>
  <si>
    <t>kraken:gnoeur</t>
  </si>
  <si>
    <t>kraken:gnousd</t>
  </si>
  <si>
    <t>kraken:icnbtc</t>
  </si>
  <si>
    <t>kraken:icneth</t>
  </si>
  <si>
    <t>kraken:ltcbtc</t>
  </si>
  <si>
    <t>kraken:ltccad</t>
  </si>
  <si>
    <t>kraken:ltceur</t>
  </si>
  <si>
    <t>kraken:ltcusd</t>
  </si>
  <si>
    <t>kraken:mlnbtc</t>
  </si>
  <si>
    <t>kraken:mlneth</t>
  </si>
  <si>
    <t>kraken:repbtc</t>
  </si>
  <si>
    <t>kraken:repcad</t>
  </si>
  <si>
    <t>kraken:repeth</t>
  </si>
  <si>
    <t>kraken:repeur</t>
  </si>
  <si>
    <t>kraken:repjpy</t>
  </si>
  <si>
    <t>kraken:repusd</t>
  </si>
  <si>
    <t>kraken:strbtc</t>
  </si>
  <si>
    <t>kraken:streur</t>
  </si>
  <si>
    <t>kraken:strusd</t>
  </si>
  <si>
    <t>kraken:usdtusd</t>
  </si>
  <si>
    <t>kraken:xmrbtc</t>
  </si>
  <si>
    <t>kraken:xmreur</t>
  </si>
  <si>
    <t>kraken:xmrusd</t>
  </si>
  <si>
    <t>kraken:xrpbtc</t>
  </si>
  <si>
    <t>kraken:xrpcad</t>
  </si>
  <si>
    <t>kraken:xrpeur</t>
  </si>
  <si>
    <t>kraken:xrpjpy</t>
  </si>
  <si>
    <t>kraken:xrpusd</t>
  </si>
  <si>
    <t>kraken:zecbtc</t>
  </si>
  <si>
    <t>kraken:zeccad</t>
  </si>
  <si>
    <t>kraken:zeceur</t>
  </si>
  <si>
    <t>kraken:zecgbp</t>
  </si>
  <si>
    <t>kraken:zecjpy</t>
  </si>
  <si>
    <t>kraken:zecusd</t>
  </si>
  <si>
    <t>luno:btczar</t>
  </si>
  <si>
    <t>okcoin:btccny</t>
  </si>
  <si>
    <t>okcoin:btcusd</t>
  </si>
  <si>
    <t>okcoin:btcusd-biweekly-futures</t>
  </si>
  <si>
    <t>okcoin:btcusd-quarterly-futures</t>
  </si>
  <si>
    <t>okcoin:btcusd-weekly-futures</t>
  </si>
  <si>
    <t>okcoin:ltccny</t>
  </si>
  <si>
    <t>okcoin:ltcusd</t>
  </si>
  <si>
    <t>okcoin:ltcusd-biweekly-futures</t>
  </si>
  <si>
    <t>okcoin:ltcusd-quarterly-futures</t>
  </si>
  <si>
    <t>okcoin:ltcusd-weekly-futures</t>
  </si>
  <si>
    <t>poloniex:bchbtc</t>
  </si>
  <si>
    <t>poloniex:btcusd</t>
  </si>
  <si>
    <t>poloniex:btsbtc</t>
  </si>
  <si>
    <t>poloniex:daobtc</t>
  </si>
  <si>
    <t>poloniex:daoeth</t>
  </si>
  <si>
    <t>poloniex:dashbtc</t>
  </si>
  <si>
    <t>poloniex:dashusd</t>
  </si>
  <si>
    <t>poloniex:dgbbtc</t>
  </si>
  <si>
    <t>poloniex:etcbtc</t>
  </si>
  <si>
    <t>poloniex:etceth</t>
  </si>
  <si>
    <t>poloniex:etcusd</t>
  </si>
  <si>
    <t>poloniex:ethbtc</t>
  </si>
  <si>
    <t>poloniex:ethusd</t>
  </si>
  <si>
    <t>poloniex:fctbtc</t>
  </si>
  <si>
    <t>poloniex:gnobtc</t>
  </si>
  <si>
    <t>poloniex:gnoeth</t>
  </si>
  <si>
    <t>poloniex:gntbtc</t>
  </si>
  <si>
    <t>poloniex:lskbtc</t>
  </si>
  <si>
    <t>poloniex:lsketh</t>
  </si>
  <si>
    <t>poloniex:ltcbtc</t>
  </si>
  <si>
    <t>poloniex:ltcusd</t>
  </si>
  <si>
    <t>poloniex:ltcxmr</t>
  </si>
  <si>
    <t>poloniex:maidbtc</t>
  </si>
  <si>
    <t>poloniex:navbtc</t>
  </si>
  <si>
    <t>poloniex:nxtbtc</t>
  </si>
  <si>
    <t>poloniex:nxtusd</t>
  </si>
  <si>
    <t>poloniex:nxtxmr</t>
  </si>
  <si>
    <t>poloniex:repbtc</t>
  </si>
  <si>
    <t>poloniex:repeth</t>
  </si>
  <si>
    <t>poloniex:repusd</t>
  </si>
  <si>
    <t>poloniex:sdcbtc</t>
  </si>
  <si>
    <t>poloniex:stratbtc</t>
  </si>
  <si>
    <t>poloniex:strbtc</t>
  </si>
  <si>
    <t>poloniex:strusd</t>
  </si>
  <si>
    <t>poloniex:xmrbtc</t>
  </si>
  <si>
    <t>poloniex:xmrusd</t>
  </si>
  <si>
    <t>poloniex:xrpbtc</t>
  </si>
  <si>
    <t>poloniex:xrpusd</t>
  </si>
  <si>
    <t>poloniex:zecbtc</t>
  </si>
  <si>
    <t>poloniex:zeceth</t>
  </si>
  <si>
    <t>poloniex:zecusd</t>
  </si>
  <si>
    <t>poloniex:zecxmr</t>
  </si>
  <si>
    <t>qryptos:etcbtc</t>
  </si>
  <si>
    <t>qryptos:ethbtc</t>
  </si>
  <si>
    <t>qryptos:ltcbtc</t>
  </si>
  <si>
    <t>qryptos:repbtc</t>
  </si>
  <si>
    <t>qryptos:xmrbtc</t>
  </si>
  <si>
    <t>qryptos:xrpbtc</t>
  </si>
  <si>
    <t>qryptos:zecbtc</t>
  </si>
  <si>
    <t>quoine:bchjpy</t>
  </si>
  <si>
    <t>quoine:bchsgd</t>
  </si>
  <si>
    <t>quoine:bchusd</t>
  </si>
  <si>
    <t>quoine:btcaud</t>
  </si>
  <si>
    <t>quoine:btccny</t>
  </si>
  <si>
    <t>quoine:btceur</t>
  </si>
  <si>
    <t>quoine:btchkd</t>
  </si>
  <si>
    <t>quoine:btcidr</t>
  </si>
  <si>
    <t>quoine:btcinr</t>
  </si>
  <si>
    <t>quoine:btcjpy</t>
  </si>
  <si>
    <t>quoine:btcphp</t>
  </si>
  <si>
    <t>quoine:btcsgd</t>
  </si>
  <si>
    <t>quoine:btcusd</t>
  </si>
  <si>
    <t>quoine:ethaud</t>
  </si>
  <si>
    <t>quoine:ethbtc</t>
  </si>
  <si>
    <t>quoine:ethcny</t>
  </si>
  <si>
    <t>quoine:etheur</t>
  </si>
  <si>
    <t>quoine:ethhkd</t>
  </si>
  <si>
    <t>quoine:ethidr</t>
  </si>
  <si>
    <t>quoine:ethinr</t>
  </si>
  <si>
    <t>quoine:ethjpy</t>
  </si>
  <si>
    <t>quoine:ethphp</t>
  </si>
  <si>
    <t>quoine:ethsgd</t>
  </si>
  <si>
    <t>quoine:ethusd</t>
  </si>
  <si>
    <t>Column1.MarketName</t>
  </si>
  <si>
    <t>Column1.High</t>
  </si>
  <si>
    <t>Column1.Low</t>
  </si>
  <si>
    <t>Column1.Volume</t>
  </si>
  <si>
    <t>Column1.Last</t>
  </si>
  <si>
    <t>Column1.BaseVolume</t>
  </si>
  <si>
    <t>Column1.TimeStamp</t>
  </si>
  <si>
    <t>Column1.Bid</t>
  </si>
  <si>
    <t>Column1.Ask</t>
  </si>
  <si>
    <t>Column1.OpenBuyOrders</t>
  </si>
  <si>
    <t>Column1.OpenSellOrders</t>
  </si>
  <si>
    <t>Column1.PrevDay</t>
  </si>
  <si>
    <t>Column1.Created</t>
  </si>
  <si>
    <t>BTC-1ST</t>
  </si>
  <si>
    <t>2017-06-06T01:22:35.727</t>
  </si>
  <si>
    <t>BTC-2GIVE</t>
  </si>
  <si>
    <t>2016-05-16T06:44:15.287</t>
  </si>
  <si>
    <t>BTC-ABY</t>
  </si>
  <si>
    <t>2014-10-31T01:43:25.743</t>
  </si>
  <si>
    <t>BTC-ADT</t>
  </si>
  <si>
    <t>2017-07-03T21:08:06.11</t>
  </si>
  <si>
    <t>BTC-ADX</t>
  </si>
  <si>
    <t>2017-07-11T22:42:17.78</t>
  </si>
  <si>
    <t>BTC-AEON</t>
  </si>
  <si>
    <t>2015-07-31T00:50:47.11</t>
  </si>
  <si>
    <t>BTC-AGRS</t>
  </si>
  <si>
    <t>2015-11-10T00:53:59.643</t>
  </si>
  <si>
    <t>BTC-AMP</t>
  </si>
  <si>
    <t>2015-11-03T19:13:55.18</t>
  </si>
  <si>
    <t>BTC-ANT</t>
  </si>
  <si>
    <t>2017-05-17T19:54:30.143</t>
  </si>
  <si>
    <t>BTC-APX</t>
  </si>
  <si>
    <t>2017-05-02T06:26:32.897</t>
  </si>
  <si>
    <t>BTC-ARDR</t>
  </si>
  <si>
    <t>2016-10-13T18:59:37.407</t>
  </si>
  <si>
    <t>BTC-ARK</t>
  </si>
  <si>
    <t>2017-03-21T18:11:29.347</t>
  </si>
  <si>
    <t>BTC-AUR</t>
  </si>
  <si>
    <t>2014-03-16T22:00:00</t>
  </si>
  <si>
    <t>BTC-BAT</t>
  </si>
  <si>
    <t>2017-06-03T22:04:53.82</t>
  </si>
  <si>
    <t>BTC-BAY</t>
  </si>
  <si>
    <t>2014-11-18T17:34:21.083</t>
  </si>
  <si>
    <t>BTC-BCC</t>
  </si>
  <si>
    <t>2017-08-01T18:34:04.967</t>
  </si>
  <si>
    <t>BTC-BCY</t>
  </si>
  <si>
    <t>2015-09-10T05:28:20.787</t>
  </si>
  <si>
    <t>BTC-BITB</t>
  </si>
  <si>
    <t>2015-02-15T23:07:32.777</t>
  </si>
  <si>
    <t>BTC-BLITZ</t>
  </si>
  <si>
    <t>2014-11-13T20:20:21.443</t>
  </si>
  <si>
    <t>BTC-BLK</t>
  </si>
  <si>
    <t>2014-03-14T09:00:00</t>
  </si>
  <si>
    <t>BTC-BLOCK</t>
  </si>
  <si>
    <t>2014-10-29T06:45:03.97</t>
  </si>
  <si>
    <t>BTC-BNT</t>
  </si>
  <si>
    <t>2017-06-22T21:36:30.85</t>
  </si>
  <si>
    <t>BTC-BRK</t>
  </si>
  <si>
    <t>2016-06-13T02:27:33.34</t>
  </si>
  <si>
    <t>BTC-BRX</t>
  </si>
  <si>
    <t>2016-07-10T21:25:05.127</t>
  </si>
  <si>
    <t>BTC-BSD</t>
  </si>
  <si>
    <t>2016-02-17T00:54:23.677</t>
  </si>
  <si>
    <t>BTC-BTA</t>
  </si>
  <si>
    <t>2015-11-20T01:20:24.253</t>
  </si>
  <si>
    <t>BTC-BTCD</t>
  </si>
  <si>
    <t>2014-07-14T06:05:04.567</t>
  </si>
  <si>
    <t>BTC-BTS</t>
  </si>
  <si>
    <t>2014-11-24T08:18:16.53</t>
  </si>
  <si>
    <t>BTC-BURST</t>
  </si>
  <si>
    <t>2014-09-16T07:41:56.047</t>
  </si>
  <si>
    <t>BTC-BYC</t>
  </si>
  <si>
    <t>2014-11-03T19:02:45.96</t>
  </si>
  <si>
    <t>BTC-CANN</t>
  </si>
  <si>
    <t>2014-08-10T06:48:44.83</t>
  </si>
  <si>
    <t>BTC-CFI</t>
  </si>
  <si>
    <t>2017-06-19T19:59:14.78</t>
  </si>
  <si>
    <t>BTC-CLAM</t>
  </si>
  <si>
    <t>2015-04-18T22:04:25.183</t>
  </si>
  <si>
    <t>BTC-CLOAK</t>
  </si>
  <si>
    <t>2014-06-04T08:53:18.563</t>
  </si>
  <si>
    <t>BTC-CLUB</t>
  </si>
  <si>
    <t>2015-12-18T00:30:10.31</t>
  </si>
  <si>
    <t>BTC-COVAL</t>
  </si>
  <si>
    <t>2015-01-22T19:11:45.903</t>
  </si>
  <si>
    <t>BTC-CPC</t>
  </si>
  <si>
    <t>2015-07-25T06:30:32.53</t>
  </si>
  <si>
    <t>BTC-CRB</t>
  </si>
  <si>
    <t>2017-06-13T19:40:35.203</t>
  </si>
  <si>
    <t>BTC-CRW</t>
  </si>
  <si>
    <t>2017-03-06T21:10:15.663</t>
  </si>
  <si>
    <t>BTC-CURE</t>
  </si>
  <si>
    <t>2014-05-13T09:00:00</t>
  </si>
  <si>
    <t>BTC-CVC</t>
  </si>
  <si>
    <t>2017-07-16T23:04:18.867</t>
  </si>
  <si>
    <t>BTC-DAR</t>
  </si>
  <si>
    <t>2016-12-22T02:42:44.38</t>
  </si>
  <si>
    <t>BTC-DASH</t>
  </si>
  <si>
    <t>2014-03-11T08:00:00</t>
  </si>
  <si>
    <t>BTC-DCR</t>
  </si>
  <si>
    <t>2016-02-09T21:06:51.577</t>
  </si>
  <si>
    <t>BTC-DCT</t>
  </si>
  <si>
    <t>2017-06-30T16:35:24.643</t>
  </si>
  <si>
    <t>BTC-DGB</t>
  </si>
  <si>
    <t>2014-08-20T07:09:57.207</t>
  </si>
  <si>
    <t>BTC-DGD</t>
  </si>
  <si>
    <t>2016-06-14T16:25:12.063</t>
  </si>
  <si>
    <t>BTC-DMD</t>
  </si>
  <si>
    <t>2015-05-01T17:31:24.97</t>
  </si>
  <si>
    <t>BTC-DOGE</t>
  </si>
  <si>
    <t>2014-02-13T00:00:00</t>
  </si>
  <si>
    <t>BTC-DOPE</t>
  </si>
  <si>
    <t>2014-10-17T19:09:32.6</t>
  </si>
  <si>
    <t>BTC-DRACO</t>
  </si>
  <si>
    <t>2016-07-23T19:02:39.123</t>
  </si>
  <si>
    <t>BTC-DTB</t>
  </si>
  <si>
    <t>2017-04-01T04:06:13.887</t>
  </si>
  <si>
    <t>BTC-DYN</t>
  </si>
  <si>
    <t>2017-03-23T00:10:19.403</t>
  </si>
  <si>
    <t>BTC-EBST</t>
  </si>
  <si>
    <t>2016-09-15T15:47:38.92</t>
  </si>
  <si>
    <t>BTC-EDG</t>
  </si>
  <si>
    <t>2017-04-18T00:56:59.243</t>
  </si>
  <si>
    <t>BTC-EFL</t>
  </si>
  <si>
    <t>2014-03-20T20:00:00</t>
  </si>
  <si>
    <t>BTC-EGC</t>
  </si>
  <si>
    <t>2016-01-18T21:01:43.837</t>
  </si>
  <si>
    <t>BTC-EMC</t>
  </si>
  <si>
    <t>2016-01-06T05:28:04.553</t>
  </si>
  <si>
    <t>BTC-EMC2</t>
  </si>
  <si>
    <t>2014-12-24T00:00:00</t>
  </si>
  <si>
    <t>BTC-ENRG</t>
  </si>
  <si>
    <t>2014-05-04T00:00:00</t>
  </si>
  <si>
    <t>BTC-ERC</t>
  </si>
  <si>
    <t>2014-05-10T17:00:00</t>
  </si>
  <si>
    <t>BTC-ETC</t>
  </si>
  <si>
    <t>2016-07-26T18:10:22.82</t>
  </si>
  <si>
    <t>BTC-ETH</t>
  </si>
  <si>
    <t>2015-08-14T09:02:24.817</t>
  </si>
  <si>
    <t>BTC-EXCL</t>
  </si>
  <si>
    <t>2014-09-28T20:33:27.633</t>
  </si>
  <si>
    <t>BTC-EXP</t>
  </si>
  <si>
    <t>2015-09-16T17:10:15.253</t>
  </si>
  <si>
    <t>BTC-FAIR</t>
  </si>
  <si>
    <t>2014-12-12T19:51:07.703</t>
  </si>
  <si>
    <t>BTC-FCT</t>
  </si>
  <si>
    <t>2016-01-09T03:47:07.803</t>
  </si>
  <si>
    <t>BTC-FLDC</t>
  </si>
  <si>
    <t>2015-02-23T23:01:53.92</t>
  </si>
  <si>
    <t>BTC-FLO</t>
  </si>
  <si>
    <t>2015-03-11T05:43:30.193</t>
  </si>
  <si>
    <t>BTC-FTC</t>
  </si>
  <si>
    <t>BTC-FUN</t>
  </si>
  <si>
    <t>2017-07-04T18:45:47.13</t>
  </si>
  <si>
    <t>BTC-GAM</t>
  </si>
  <si>
    <t>2015-05-05T22:38:44.963</t>
  </si>
  <si>
    <t>BTC-GAME</t>
  </si>
  <si>
    <t>2015-04-08T04:09:53.013</t>
  </si>
  <si>
    <t>BTC-GBG</t>
  </si>
  <si>
    <t>2017-02-12T00:38:21.023</t>
  </si>
  <si>
    <t>BTC-GBYTE</t>
  </si>
  <si>
    <t>2017-04-13T20:46:39.83</t>
  </si>
  <si>
    <t>BTC-GCR</t>
  </si>
  <si>
    <t>2015-08-24T00:25:28.933</t>
  </si>
  <si>
    <t>BTC-GEO</t>
  </si>
  <si>
    <t>2015-02-21T03:29:43.267</t>
  </si>
  <si>
    <t>BTC-GLD</t>
  </si>
  <si>
    <t>2014-03-22T16:00:00</t>
  </si>
  <si>
    <t>BTC-GNO</t>
  </si>
  <si>
    <t>2017-04-28T02:43:12</t>
  </si>
  <si>
    <t>BTC-GNT</t>
  </si>
  <si>
    <t>2017-04-17T21:35:59.26</t>
  </si>
  <si>
    <t>BTC-GOLOS</t>
  </si>
  <si>
    <t>2017-01-19T23:23:12.41</t>
  </si>
  <si>
    <t>BTC-GRC</t>
  </si>
  <si>
    <t>2015-02-27T19:57:02.82</t>
  </si>
  <si>
    <t>BTC-GRS</t>
  </si>
  <si>
    <t>2014-04-03T05:00:00</t>
  </si>
  <si>
    <t>BTC-GUP</t>
  </si>
  <si>
    <t>2017-04-29T18:08:12.39</t>
  </si>
  <si>
    <t>BTC-HMQ</t>
  </si>
  <si>
    <t>2017-05-10T00:02:47.373</t>
  </si>
  <si>
    <t>BTC-INCNT</t>
  </si>
  <si>
    <t>2017-04-04T21:20:51.083</t>
  </si>
  <si>
    <t>BTC-INFX</t>
  </si>
  <si>
    <t>2015-10-03T20:41:41.403</t>
  </si>
  <si>
    <t>BTC-IOC</t>
  </si>
  <si>
    <t>2014-07-29T16:57:43.787</t>
  </si>
  <si>
    <t>BTC-ION</t>
  </si>
  <si>
    <t>2017-02-18T23:41:17.04</t>
  </si>
  <si>
    <t>BTC-IOP</t>
  </si>
  <si>
    <t>2016-12-22T00:54:23.477</t>
  </si>
  <si>
    <t>BTC-KMD</t>
  </si>
  <si>
    <t>2017-02-11T23:04:01.853</t>
  </si>
  <si>
    <t>BTC-KORE</t>
  </si>
  <si>
    <t>2014-06-17T05:46:29.303</t>
  </si>
  <si>
    <t>BTC-LBC</t>
  </si>
  <si>
    <t>2016-07-05T21:50:07.81</t>
  </si>
  <si>
    <t>BTC-LGD</t>
  </si>
  <si>
    <t>2017-04-18T07:37:41.3</t>
  </si>
  <si>
    <t>BTC-LMC</t>
  </si>
  <si>
    <t>2017-02-18T23:55:53.153</t>
  </si>
  <si>
    <t>BTC-LSK</t>
  </si>
  <si>
    <t>2016-05-24T18:49:52.77</t>
  </si>
  <si>
    <t>BTC-LTC</t>
  </si>
  <si>
    <t>BTC-LUN</t>
  </si>
  <si>
    <t>2017-04-30T16:57:03.27</t>
  </si>
  <si>
    <t>BTC-MAID</t>
  </si>
  <si>
    <t>2016-01-18T20:38:22.707</t>
  </si>
  <si>
    <t>BTC-MCO</t>
  </si>
  <si>
    <t>2017-07-02T00:37:16.957</t>
  </si>
  <si>
    <t>BTC-MEME</t>
  </si>
  <si>
    <t>2016-04-01T18:24:07.207</t>
  </si>
  <si>
    <t>BTC-MLN</t>
  </si>
  <si>
    <t>2017-03-15T19:30:56.167</t>
  </si>
  <si>
    <t>BTC-MONA</t>
  </si>
  <si>
    <t>2014-04-18T22:00:00</t>
  </si>
  <si>
    <t>BTC-MTL</t>
  </si>
  <si>
    <t>2017-07-08T14:59:57.34</t>
  </si>
  <si>
    <t>BTC-MUE</t>
  </si>
  <si>
    <t>2015-04-09T17:31:31.113</t>
  </si>
  <si>
    <t>BTC-MUSIC</t>
  </si>
  <si>
    <t>2017-03-27T19:59:13.073</t>
  </si>
  <si>
    <t>BTC-MYST</t>
  </si>
  <si>
    <t>2017-06-19T19:13:43.73</t>
  </si>
  <si>
    <t>BTC-NAV</t>
  </si>
  <si>
    <t>2014-07-08T03:37:28.39</t>
  </si>
  <si>
    <t>BTC-NBT</t>
  </si>
  <si>
    <t>2015-04-08T03:57:37.33</t>
  </si>
  <si>
    <t>BTC-NEO</t>
  </si>
  <si>
    <t>2016-10-26T01:28:31.96</t>
  </si>
  <si>
    <t>BTC-NEOS</t>
  </si>
  <si>
    <t>2014-08-20T00:06:59.63</t>
  </si>
  <si>
    <t>BTC-NLG</t>
  </si>
  <si>
    <t>2014-04-04T22:00:00</t>
  </si>
  <si>
    <t>BTC-NMR</t>
  </si>
  <si>
    <t>2017-06-22T21:58:57.657</t>
  </si>
  <si>
    <t>BTC-NXC</t>
  </si>
  <si>
    <t>2017-04-17T22:51:08.97</t>
  </si>
  <si>
    <t>BTC-NXS</t>
  </si>
  <si>
    <t>2015-01-25T03:00:35.143</t>
  </si>
  <si>
    <t>BTC-NXT</t>
  </si>
  <si>
    <t>2014-03-03T09:00:00</t>
  </si>
  <si>
    <t>BTC-OK</t>
  </si>
  <si>
    <t>2015-05-30T19:26:37.523</t>
  </si>
  <si>
    <t>BTC-OMG</t>
  </si>
  <si>
    <t>2017-07-16T17:07:42.313</t>
  </si>
  <si>
    <t>BTC-OMNI</t>
  </si>
  <si>
    <t>2015-11-03T19:13:33.197</t>
  </si>
  <si>
    <t>BTC-PART</t>
  </si>
  <si>
    <t>2017-07-20T18:19:07.157</t>
  </si>
  <si>
    <t>BTC-PAY</t>
  </si>
  <si>
    <t>2017-07-07T07:14:00.793</t>
  </si>
  <si>
    <t>BTC-PDC</t>
  </si>
  <si>
    <t>2016-06-02T04:39:35.21</t>
  </si>
  <si>
    <t>BTC-PINK</t>
  </si>
  <si>
    <t>2014-07-29T07:41:09.4</t>
  </si>
  <si>
    <t>BTC-PIVX</t>
  </si>
  <si>
    <t>2016-03-02T20:45:37.987</t>
  </si>
  <si>
    <t>BTC-PKB</t>
  </si>
  <si>
    <t>2015-06-03T06:31:14.35</t>
  </si>
  <si>
    <t>BTC-POT</t>
  </si>
  <si>
    <t>BTC-PPC</t>
  </si>
  <si>
    <t>BTC-PTC</t>
  </si>
  <si>
    <t>2014-03-27T18:00:00</t>
  </si>
  <si>
    <t>BTC-PTOY</t>
  </si>
  <si>
    <t>2017-06-18T17:04:24.1</t>
  </si>
  <si>
    <t>BTC-QRL</t>
  </si>
  <si>
    <t>2017-06-10T00:01:39.293</t>
  </si>
  <si>
    <t>BTC-QTUM</t>
  </si>
  <si>
    <t>2017-07-20T19:08:43.473</t>
  </si>
  <si>
    <t>BTC-QWARK</t>
  </si>
  <si>
    <t>2017-03-05T19:30:16.853</t>
  </si>
  <si>
    <t>BTC-RADS</t>
  </si>
  <si>
    <t>2016-01-26T23:22:16.193</t>
  </si>
  <si>
    <t>BTC-RBY</t>
  </si>
  <si>
    <t>2014-04-05T08:00:00</t>
  </si>
  <si>
    <t>BTC-RDD</t>
  </si>
  <si>
    <t>2014-02-25T09:00:00</t>
  </si>
  <si>
    <t>BTC-REP</t>
  </si>
  <si>
    <t>2016-10-04T15:45:37.14</t>
  </si>
  <si>
    <t>BTC-RISE</t>
  </si>
  <si>
    <t>2016-06-24T17:00:00.043</t>
  </si>
  <si>
    <t>BTC-RLC</t>
  </si>
  <si>
    <t>2017-04-27T00:20:33.857</t>
  </si>
  <si>
    <t>BTC-SAFEX</t>
  </si>
  <si>
    <t>2016-02-13T22:14:21.14</t>
  </si>
  <si>
    <t>BTC-SBD</t>
  </si>
  <si>
    <t>2016-07-09T19:02:08.943</t>
  </si>
  <si>
    <t>BTC-SC</t>
  </si>
  <si>
    <t>2017-05-22T21:30:29.16</t>
  </si>
  <si>
    <t>BTC-SEQ</t>
  </si>
  <si>
    <t>2016-09-23T07:10:11.78</t>
  </si>
  <si>
    <t>BTC-SHIFT</t>
  </si>
  <si>
    <t>2016-10-11T19:48:35.573</t>
  </si>
  <si>
    <t>BTC-SIB</t>
  </si>
  <si>
    <t>2017-02-18T22:34:49.373</t>
  </si>
  <si>
    <t>BTC-SLR</t>
  </si>
  <si>
    <t>2014-03-23T06:00:00</t>
  </si>
  <si>
    <t>BTC-SLS</t>
  </si>
  <si>
    <t>2016-01-20T22:24:04.65</t>
  </si>
  <si>
    <t>BTC-SNGLS</t>
  </si>
  <si>
    <t>2016-10-02T22:16:04.773</t>
  </si>
  <si>
    <t>BTC-SNRG</t>
  </si>
  <si>
    <t>2015-06-03T06:27:04.623</t>
  </si>
  <si>
    <t>BTC-SNT</t>
  </si>
  <si>
    <t>2017-06-28T18:26:15.73</t>
  </si>
  <si>
    <t>BTC-SPHR</t>
  </si>
  <si>
    <t>2015-05-18T22:45:47.093</t>
  </si>
  <si>
    <t>BTC-SPR</t>
  </si>
  <si>
    <t>2014-12-19T02:33:07.747</t>
  </si>
  <si>
    <t>BTC-START</t>
  </si>
  <si>
    <t>2014-06-14T07:09:15.327</t>
  </si>
  <si>
    <t>BTC-STEEM</t>
  </si>
  <si>
    <t>2016-04-17T01:22:13.35</t>
  </si>
  <si>
    <t>BTC-STORJ</t>
  </si>
  <si>
    <t>2017-07-11T21:14:32.643</t>
  </si>
  <si>
    <t>BTC-STRAT</t>
  </si>
  <si>
    <t>2016-08-10T23:26:39.657</t>
  </si>
  <si>
    <t>BTC-SWIFT</t>
  </si>
  <si>
    <t>2014-10-03T19:16:23.143</t>
  </si>
  <si>
    <t>BTC-SWT</t>
  </si>
  <si>
    <t>2017-03-08T22:32:26.03</t>
  </si>
  <si>
    <t>BTC-SYNX</t>
  </si>
  <si>
    <t>2016-08-25T21:23:15.27</t>
  </si>
  <si>
    <t>BTC-SYS</t>
  </si>
  <si>
    <t>2014-08-16T19:57:48.823</t>
  </si>
  <si>
    <t>BTC-THC</t>
  </si>
  <si>
    <t>2014-04-29T21:00:00</t>
  </si>
  <si>
    <t>BTC-TIME</t>
  </si>
  <si>
    <t>2017-03-09T00:44:08.673</t>
  </si>
  <si>
    <t>BTC-TKN</t>
  </si>
  <si>
    <t>2017-05-08T17:09:34.91</t>
  </si>
  <si>
    <t>BTC-TKS</t>
  </si>
  <si>
    <t>2017-03-23T00:48:15.94</t>
  </si>
  <si>
    <t>BTC-TRIG</t>
  </si>
  <si>
    <t>2016-09-08T05:59:08.183</t>
  </si>
  <si>
    <t>BTC-TRST</t>
  </si>
  <si>
    <t>2017-04-19T04:53:43.893</t>
  </si>
  <si>
    <t>BTC-TRUST</t>
  </si>
  <si>
    <t>2014-07-07T05:46:18.71</t>
  </si>
  <si>
    <t>BTC-TX</t>
  </si>
  <si>
    <t>2015-09-02T08:02:54.3</t>
  </si>
  <si>
    <t>BTC-UBQ</t>
  </si>
  <si>
    <t>2017-02-08T17:00:59.02</t>
  </si>
  <si>
    <t>BTC-UNB</t>
  </si>
  <si>
    <t>2016-08-24T21:39:28.357</t>
  </si>
  <si>
    <t>BTC-UNO</t>
  </si>
  <si>
    <t>2014-07-23T20:58:41.35</t>
  </si>
  <si>
    <t>BTC-VIA</t>
  </si>
  <si>
    <t>2014-07-18T00:20:00.393</t>
  </si>
  <si>
    <t>BTC-VOX</t>
  </si>
  <si>
    <t>2015-12-30T04:21:47.31</t>
  </si>
  <si>
    <t>BTC-VRC</t>
  </si>
  <si>
    <t>2014-05-13T07:00:00</t>
  </si>
  <si>
    <t>BTC-VRM</t>
  </si>
  <si>
    <t>2016-09-16T04:52:17.637</t>
  </si>
  <si>
    <t>BTC-VTC</t>
  </si>
  <si>
    <t>BTC-VTR</t>
  </si>
  <si>
    <t>2014-12-19T02:33:10.943</t>
  </si>
  <si>
    <t>BTC-WAVES</t>
  </si>
  <si>
    <t>2016-06-19T15:46:31.167</t>
  </si>
  <si>
    <t>BTC-WINGS</t>
  </si>
  <si>
    <t>2017-04-26T22:34:24.49</t>
  </si>
  <si>
    <t>BTC-XAUR</t>
  </si>
  <si>
    <t>2016-09-25T00:15:16.103</t>
  </si>
  <si>
    <t>BTC-XCP</t>
  </si>
  <si>
    <t>2015-02-14T04:20:41</t>
  </si>
  <si>
    <t>BTC-XDN</t>
  </si>
  <si>
    <t>2014-06-21T18:37:57.64</t>
  </si>
  <si>
    <t>BTC-XEL</t>
  </si>
  <si>
    <t>2017-07-01T17:38:44.883</t>
  </si>
  <si>
    <t>BTC-XEM</t>
  </si>
  <si>
    <t>2015-04-10T21:06:00.043</t>
  </si>
  <si>
    <t>BTC-XLM</t>
  </si>
  <si>
    <t>2015-11-17T20:06:44.92</t>
  </si>
  <si>
    <t>BTC-XMG</t>
  </si>
  <si>
    <t>2014-11-10T06:25:07.533</t>
  </si>
  <si>
    <t>BTC-XMR</t>
  </si>
  <si>
    <t>2014-06-04T07:38:39.24</t>
  </si>
  <si>
    <t>BTC-XMY</t>
  </si>
  <si>
    <t>2014-03-15T08:00:00</t>
  </si>
  <si>
    <t>BTC-XRP</t>
  </si>
  <si>
    <t>2014-12-22T19:30:27.45</t>
  </si>
  <si>
    <t>BTC-XST</t>
  </si>
  <si>
    <t>2014-07-09T20:33:00.59</t>
  </si>
  <si>
    <t>BTC-XVC</t>
  </si>
  <si>
    <t>2016-03-12T19:37:38.863</t>
  </si>
  <si>
    <t>BTC-XVG</t>
  </si>
  <si>
    <t>2016-02-17T22:42:03.61</t>
  </si>
  <si>
    <t>BTC-XWC</t>
  </si>
  <si>
    <t>2014-04-14T00:00:00</t>
  </si>
  <si>
    <t>BTC-XZC</t>
  </si>
  <si>
    <t>2016-10-20T04:48:30.387</t>
  </si>
  <si>
    <t>BTC-ZCL</t>
  </si>
  <si>
    <t>2016-11-15T20:29:59.73</t>
  </si>
  <si>
    <t>BTC-ZEC</t>
  </si>
  <si>
    <t>2016-10-28T17:13:10.833</t>
  </si>
  <si>
    <t>BTC-ZEN</t>
  </si>
  <si>
    <t>2017-06-05T16:39:49.07</t>
  </si>
  <si>
    <t>ETH-1ST</t>
  </si>
  <si>
    <t>2017-06-11T17:33:06.127</t>
  </si>
  <si>
    <t>ETH-ADT</t>
  </si>
  <si>
    <t>2017-07-03T21:08:06.22</t>
  </si>
  <si>
    <t>ETH-ADX</t>
  </si>
  <si>
    <t>ETH-ANT</t>
  </si>
  <si>
    <t>2017-05-19T15:55:11.293</t>
  </si>
  <si>
    <t>ETH-BAT</t>
  </si>
  <si>
    <t>2017-06-03T22:04:52.38</t>
  </si>
  <si>
    <t>ETH-BCC</t>
  </si>
  <si>
    <t>2017-08-01T18:34:04.763</t>
  </si>
  <si>
    <t>ETH-BNT</t>
  </si>
  <si>
    <t>2017-06-22T21:36:30.867</t>
  </si>
  <si>
    <t>ETH-BTS</t>
  </si>
  <si>
    <t>2017-08-04T18:01:27.853</t>
  </si>
  <si>
    <t>ETH-CFI</t>
  </si>
  <si>
    <t>2017-06-19T19:59:14.89</t>
  </si>
  <si>
    <t>ETH-CRB</t>
  </si>
  <si>
    <t>2017-06-13T19:40:35.217</t>
  </si>
  <si>
    <t>ETH-CVC</t>
  </si>
  <si>
    <t>2017-07-16T23:04:18.99</t>
  </si>
  <si>
    <t>ETH-DASH</t>
  </si>
  <si>
    <t>2017-07-14T17:10:05.143</t>
  </si>
  <si>
    <t>ETH-DGB</t>
  </si>
  <si>
    <t>2017-08-04T18:01:27.777</t>
  </si>
  <si>
    <t>ETH-DGD</t>
  </si>
  <si>
    <t>2016-06-17T18:51:39.087</t>
  </si>
  <si>
    <t>ETH-ETC</t>
  </si>
  <si>
    <t>2016-07-28T21:45:59.05</t>
  </si>
  <si>
    <t>ETH-FCT</t>
  </si>
  <si>
    <t>ETH-FUN</t>
  </si>
  <si>
    <t>2017-07-04T18:45:47.143</t>
  </si>
  <si>
    <t>ETH-GNO</t>
  </si>
  <si>
    <t>2017-04-30T18:42:52.17</t>
  </si>
  <si>
    <t>ETH-GNT</t>
  </si>
  <si>
    <t>2017-04-20T06:38:51.877</t>
  </si>
  <si>
    <t>ETH-GUP</t>
  </si>
  <si>
    <t>2017-04-30T18:40:42.213</t>
  </si>
  <si>
    <t>ETH-HMQ</t>
  </si>
  <si>
    <t>2017-05-10T07:27:27.597</t>
  </si>
  <si>
    <t>ETH-LGD</t>
  </si>
  <si>
    <t>2017-06-17T15:02:02.783</t>
  </si>
  <si>
    <t>ETH-LTC</t>
  </si>
  <si>
    <t>2017-06-25T03:06:46.83</t>
  </si>
  <si>
    <t>ETH-LUN</t>
  </si>
  <si>
    <t>2017-04-30T18:41:22.84</t>
  </si>
  <si>
    <t>ETH-MCO</t>
  </si>
  <si>
    <t>2017-07-02T00:37:17.05</t>
  </si>
  <si>
    <t>ETH-MTL</t>
  </si>
  <si>
    <t>2017-07-08T14:59:57.37</t>
  </si>
  <si>
    <t>ETH-MYST</t>
  </si>
  <si>
    <t>2017-06-19T19:13:43.743</t>
  </si>
  <si>
    <t>ETH-NEO</t>
  </si>
  <si>
    <t>2017-07-21T01:08:49.397</t>
  </si>
  <si>
    <t>ETH-NMR</t>
  </si>
  <si>
    <t>ETH-OMG</t>
  </si>
  <si>
    <t>2017-07-16T17:07:42.41</t>
  </si>
  <si>
    <t>ETH-PAY</t>
  </si>
  <si>
    <t>2017-07-07T07:14:00.873</t>
  </si>
  <si>
    <t>ETH-PTOY</t>
  </si>
  <si>
    <t>2017-06-18T17:04:24.147</t>
  </si>
  <si>
    <t>ETH-QRL</t>
  </si>
  <si>
    <t>2017-06-11T17:33:06.14</t>
  </si>
  <si>
    <t>ETH-QTUM</t>
  </si>
  <si>
    <t>ETH-REP</t>
  </si>
  <si>
    <t>2017-04-20T06:43:49.19</t>
  </si>
  <si>
    <t>ETH-RLC</t>
  </si>
  <si>
    <t>2017-04-30T18:41:22.823</t>
  </si>
  <si>
    <t>ETH-SC</t>
  </si>
  <si>
    <t>2017-07-14T17:10:07.74</t>
  </si>
  <si>
    <t>ETH-SNGLS</t>
  </si>
  <si>
    <t>2017-04-30T18:41:22.853</t>
  </si>
  <si>
    <t>ETH-SNT</t>
  </si>
  <si>
    <t>2017-06-28T18:26:15.747</t>
  </si>
  <si>
    <t>ETH-STORJ</t>
  </si>
  <si>
    <t>ETH-STRAT</t>
  </si>
  <si>
    <t>2017-08-04T18:01:27.713</t>
  </si>
  <si>
    <t>ETH-TIME</t>
  </si>
  <si>
    <t>2017-06-23T18:01:03.323</t>
  </si>
  <si>
    <t>ETH-TKN</t>
  </si>
  <si>
    <t>2017-05-09T04:43:46.723</t>
  </si>
  <si>
    <t>ETH-TRST</t>
  </si>
  <si>
    <t>2017-05-19T15:55:11.28</t>
  </si>
  <si>
    <t>ETH-WAVES</t>
  </si>
  <si>
    <t>2017-08-04T18:00:50.15</t>
  </si>
  <si>
    <t>ETH-WINGS</t>
  </si>
  <si>
    <t>2017-04-26T22:16:06.627</t>
  </si>
  <si>
    <t>ETH-XEM</t>
  </si>
  <si>
    <t>2017-07-21T01:08:49.38</t>
  </si>
  <si>
    <t>ETH-XLM</t>
  </si>
  <si>
    <t>ETH-XMR</t>
  </si>
  <si>
    <t>2017-07-21T01:08:49.367</t>
  </si>
  <si>
    <t>ETH-XRP</t>
  </si>
  <si>
    <t>2017-06-25T03:07:09.677</t>
  </si>
  <si>
    <t>ETH-ZEC</t>
  </si>
  <si>
    <t>2017-07-14T17:10:07.8</t>
  </si>
  <si>
    <t>USDT-BCC</t>
  </si>
  <si>
    <t>2017-08-01T18:34:04.873</t>
  </si>
  <si>
    <t>USDT-BTC</t>
  </si>
  <si>
    <t>2015-12-11T06:31:40.633</t>
  </si>
  <si>
    <t>USDT-DASH</t>
  </si>
  <si>
    <t>2017-07-21T01:08:49.413</t>
  </si>
  <si>
    <t>USDT-ETC</t>
  </si>
  <si>
    <t>2017-07-14T17:10:10.72</t>
  </si>
  <si>
    <t>USDT-ETH</t>
  </si>
  <si>
    <t>2017-04-20T17:26:37.647</t>
  </si>
  <si>
    <t>USDT-LTC</t>
  </si>
  <si>
    <t>USDT-NEO</t>
  </si>
  <si>
    <t>2017-08-04T16:58:43.087</t>
  </si>
  <si>
    <t>USDT-XMR</t>
  </si>
  <si>
    <t>USDT-XRP</t>
  </si>
  <si>
    <t>2017-07-14T17:10:10.737</t>
  </si>
  <si>
    <t>USDT-ZEC</t>
  </si>
  <si>
    <t>2017-07-14T17:10:10.673</t>
  </si>
  <si>
    <t>Value.code</t>
  </si>
  <si>
    <t>Value.alphaCode</t>
  </si>
  <si>
    <t>Value.numericCode</t>
  </si>
  <si>
    <t>Value.name</t>
  </si>
  <si>
    <t>Value.rate</t>
  </si>
  <si>
    <t>Value.date</t>
  </si>
  <si>
    <t>usd</t>
  </si>
  <si>
    <t>USD</t>
  </si>
  <si>
    <t>840</t>
  </si>
  <si>
    <t>U.S. Dollar</t>
  </si>
  <si>
    <t>eur</t>
  </si>
  <si>
    <t>EUR</t>
  </si>
  <si>
    <t>978</t>
  </si>
  <si>
    <t>Euro</t>
  </si>
  <si>
    <t>gbp</t>
  </si>
  <si>
    <t>GBP</t>
  </si>
  <si>
    <t>826</t>
  </si>
  <si>
    <t>U.K. Pound Sterling</t>
  </si>
  <si>
    <t>jpy</t>
  </si>
  <si>
    <t>JPY</t>
  </si>
  <si>
    <t>392</t>
  </si>
  <si>
    <t>Japanese Yen</t>
  </si>
  <si>
    <t>chf</t>
  </si>
  <si>
    <t>CHF</t>
  </si>
  <si>
    <t>756</t>
  </si>
  <si>
    <t>Swiss Franc</t>
  </si>
  <si>
    <t>cad</t>
  </si>
  <si>
    <t>CAD</t>
  </si>
  <si>
    <t>124</t>
  </si>
  <si>
    <t>Canadian Dollar</t>
  </si>
  <si>
    <t>aud</t>
  </si>
  <si>
    <t>AUD</t>
  </si>
  <si>
    <t>036</t>
  </si>
  <si>
    <t>Australian Dollar</t>
  </si>
  <si>
    <t>cop</t>
  </si>
  <si>
    <t>COP</t>
  </si>
  <si>
    <t>170</t>
  </si>
  <si>
    <t>Colombian Peso</t>
  </si>
  <si>
    <t>nok</t>
  </si>
  <si>
    <t>NOK</t>
  </si>
  <si>
    <t>578</t>
  </si>
  <si>
    <t>Norwegian Krone</t>
  </si>
  <si>
    <t>vef</t>
  </si>
  <si>
    <t>VEF</t>
  </si>
  <si>
    <t>937</t>
  </si>
  <si>
    <t>Venezuelan Bolivar</t>
  </si>
  <si>
    <t>ngn</t>
  </si>
  <si>
    <t>NGN</t>
  </si>
  <si>
    <t>566</t>
  </si>
  <si>
    <t>Nigerian Naira</t>
  </si>
  <si>
    <t>pyg</t>
  </si>
  <si>
    <t>PYG</t>
  </si>
  <si>
    <t>600</t>
  </si>
  <si>
    <t>Paraguayan Guaraní</t>
  </si>
  <si>
    <t>huf</t>
  </si>
  <si>
    <t>HUF</t>
  </si>
  <si>
    <t>348</t>
  </si>
  <si>
    <t>Hungarian Forint</t>
  </si>
  <si>
    <t>pln</t>
  </si>
  <si>
    <t>PLN</t>
  </si>
  <si>
    <t>985</t>
  </si>
  <si>
    <t>Polish Zloty</t>
  </si>
  <si>
    <t>dop</t>
  </si>
  <si>
    <t>DOP</t>
  </si>
  <si>
    <t>214</t>
  </si>
  <si>
    <t>Dominican Peso</t>
  </si>
  <si>
    <t>azn</t>
  </si>
  <si>
    <t>AZN</t>
  </si>
  <si>
    <t>944</t>
  </si>
  <si>
    <t>Azerbaijan Manat</t>
  </si>
  <si>
    <t>crc</t>
  </si>
  <si>
    <t>CRC</t>
  </si>
  <si>
    <t>188</t>
  </si>
  <si>
    <t>Costa Rican Colón</t>
  </si>
  <si>
    <t>idr</t>
  </si>
  <si>
    <t>IDR</t>
  </si>
  <si>
    <t>360</t>
  </si>
  <si>
    <t>Indonesian Rupiah</t>
  </si>
  <si>
    <t>sar</t>
  </si>
  <si>
    <t>SAR</t>
  </si>
  <si>
    <t>682</t>
  </si>
  <si>
    <t>Saudi Riyal</t>
  </si>
  <si>
    <t>hrk</t>
  </si>
  <si>
    <t>HRK</t>
  </si>
  <si>
    <t>191</t>
  </si>
  <si>
    <t>Croatian Kuna</t>
  </si>
  <si>
    <t>mdl</t>
  </si>
  <si>
    <t>MDL</t>
  </si>
  <si>
    <t>498</t>
  </si>
  <si>
    <t>Moldova Lei</t>
  </si>
  <si>
    <t>krw</t>
  </si>
  <si>
    <t>KRW</t>
  </si>
  <si>
    <t>410</t>
  </si>
  <si>
    <t>South Korean Won</t>
  </si>
  <si>
    <t>lkr</t>
  </si>
  <si>
    <t>LKR</t>
  </si>
  <si>
    <t>144</t>
  </si>
  <si>
    <t>Sri Lanka Rupee</t>
  </si>
  <si>
    <t>mxn</t>
  </si>
  <si>
    <t>MXN</t>
  </si>
  <si>
    <t>484</t>
  </si>
  <si>
    <t>Mexican Peso</t>
  </si>
  <si>
    <t>uzs</t>
  </si>
  <si>
    <t>UZS</t>
  </si>
  <si>
    <t>860</t>
  </si>
  <si>
    <t>Uzbekistan Sum</t>
  </si>
  <si>
    <t>dzd</t>
  </si>
  <si>
    <t>DZD</t>
  </si>
  <si>
    <t>012</t>
  </si>
  <si>
    <t>Algerian Dinar</t>
  </si>
  <si>
    <t>myr</t>
  </si>
  <si>
    <t>MYR</t>
  </si>
  <si>
    <t>458</t>
  </si>
  <si>
    <t>Malaysian Ringgit</t>
  </si>
  <si>
    <t>xof</t>
  </si>
  <si>
    <t>XOF</t>
  </si>
  <si>
    <t>952</t>
  </si>
  <si>
    <t>West African CFA Franc</t>
  </si>
  <si>
    <t>rsd</t>
  </si>
  <si>
    <t>RSD</t>
  </si>
  <si>
    <t>941</t>
  </si>
  <si>
    <t>Serbian Dinar</t>
  </si>
  <si>
    <t>bwp</t>
  </si>
  <si>
    <t>BWP</t>
  </si>
  <si>
    <t>072</t>
  </si>
  <si>
    <t>Botswana Pula</t>
  </si>
  <si>
    <t>clp</t>
  </si>
  <si>
    <t>CLP</t>
  </si>
  <si>
    <t>152</t>
  </si>
  <si>
    <t>Chilean Peso</t>
  </si>
  <si>
    <t>nzd</t>
  </si>
  <si>
    <t>NZD</t>
  </si>
  <si>
    <t>554</t>
  </si>
  <si>
    <t>New Zealand Dollar</t>
  </si>
  <si>
    <t>aed</t>
  </si>
  <si>
    <t>AED</t>
  </si>
  <si>
    <t>784</t>
  </si>
  <si>
    <t>U.A.E Dirham</t>
  </si>
  <si>
    <t>pgk</t>
  </si>
  <si>
    <t>PGK</t>
  </si>
  <si>
    <t>598</t>
  </si>
  <si>
    <t>Papua New Guinean kina</t>
  </si>
  <si>
    <t>ars</t>
  </si>
  <si>
    <t>ARS</t>
  </si>
  <si>
    <t>032</t>
  </si>
  <si>
    <t>Argentine Peso</t>
  </si>
  <si>
    <t>dkk</t>
  </si>
  <si>
    <t>DKK</t>
  </si>
  <si>
    <t>208</t>
  </si>
  <si>
    <t>Danish Krone</t>
  </si>
  <si>
    <t>pkr</t>
  </si>
  <si>
    <t>PKR</t>
  </si>
  <si>
    <t>586</t>
  </si>
  <si>
    <t>Pakistani Rupee</t>
  </si>
  <si>
    <t>brl</t>
  </si>
  <si>
    <t>BRL</t>
  </si>
  <si>
    <t>986</t>
  </si>
  <si>
    <t>Brazilian Real</t>
  </si>
  <si>
    <t>byn</t>
  </si>
  <si>
    <t>BYN</t>
  </si>
  <si>
    <t>933</t>
  </si>
  <si>
    <t>Belarussian Ruble</t>
  </si>
  <si>
    <t>bob</t>
  </si>
  <si>
    <t>BOB</t>
  </si>
  <si>
    <t>068</t>
  </si>
  <si>
    <t>Bolivian Boliviano</t>
  </si>
  <si>
    <t>inr</t>
  </si>
  <si>
    <t>INR</t>
  </si>
  <si>
    <t>356</t>
  </si>
  <si>
    <t>Indian Rupee</t>
  </si>
  <si>
    <t>rub</t>
  </si>
  <si>
    <t>RUB</t>
  </si>
  <si>
    <t>643</t>
  </si>
  <si>
    <t>Russian Rouble</t>
  </si>
  <si>
    <t>ron</t>
  </si>
  <si>
    <t>RON</t>
  </si>
  <si>
    <t>946</t>
  </si>
  <si>
    <t>Romanian New Leu</t>
  </si>
  <si>
    <t>kgs</t>
  </si>
  <si>
    <t>KGS</t>
  </si>
  <si>
    <t>417</t>
  </si>
  <si>
    <t>Kyrgyzstan Som</t>
  </si>
  <si>
    <t>kzt</t>
  </si>
  <si>
    <t>KZT</t>
  </si>
  <si>
    <t>398</t>
  </si>
  <si>
    <t>Kazakhstani Tenge</t>
  </si>
  <si>
    <t>zar</t>
  </si>
  <si>
    <t>ZAR</t>
  </si>
  <si>
    <t>710</t>
  </si>
  <si>
    <t>South African Rand</t>
  </si>
  <si>
    <t>hkd</t>
  </si>
  <si>
    <t>HKD</t>
  </si>
  <si>
    <t>344</t>
  </si>
  <si>
    <t>Hong Kong Dollar</t>
  </si>
  <si>
    <t>tjs</t>
  </si>
  <si>
    <t>TJS</t>
  </si>
  <si>
    <t>972</t>
  </si>
  <si>
    <t>Tajikistan Ruble</t>
  </si>
  <si>
    <t>lyd</t>
  </si>
  <si>
    <t>LYD</t>
  </si>
  <si>
    <t>434</t>
  </si>
  <si>
    <t>Libyan Dinar</t>
  </si>
  <si>
    <t>xaf</t>
  </si>
  <si>
    <t>XAF</t>
  </si>
  <si>
    <t>950</t>
  </si>
  <si>
    <t>Central African CFA Franc</t>
  </si>
  <si>
    <t>egp</t>
  </si>
  <si>
    <t>EGP</t>
  </si>
  <si>
    <t>818</t>
  </si>
  <si>
    <t>Egyptian Pound</t>
  </si>
  <si>
    <t>bhd</t>
  </si>
  <si>
    <t>BHD</t>
  </si>
  <si>
    <t>048</t>
  </si>
  <si>
    <t>Bahrain Dinar</t>
  </si>
  <si>
    <t>npr</t>
  </si>
  <si>
    <t>NPR</t>
  </si>
  <si>
    <t>524</t>
  </si>
  <si>
    <t>Nepalese Rupee</t>
  </si>
  <si>
    <t>tnd</t>
  </si>
  <si>
    <t>TND</t>
  </si>
  <si>
    <t>788</t>
  </si>
  <si>
    <t>Tunisian Dinar</t>
  </si>
  <si>
    <t>vnd</t>
  </si>
  <si>
    <t>VND</t>
  </si>
  <si>
    <t>704</t>
  </si>
  <si>
    <t>Vietnamese Dong</t>
  </si>
  <si>
    <t>lbp</t>
  </si>
  <si>
    <t>LBP</t>
  </si>
  <si>
    <t>422</t>
  </si>
  <si>
    <t>Lebanese Pound</t>
  </si>
  <si>
    <t>czk</t>
  </si>
  <si>
    <t>CZK</t>
  </si>
  <si>
    <t>203</t>
  </si>
  <si>
    <t>Czech Koruna</t>
  </si>
  <si>
    <t>omr</t>
  </si>
  <si>
    <t>OMR</t>
  </si>
  <si>
    <t>512</t>
  </si>
  <si>
    <t>Omani Rial</t>
  </si>
  <si>
    <t>bbd</t>
  </si>
  <si>
    <t>BBD</t>
  </si>
  <si>
    <t>052</t>
  </si>
  <si>
    <t>Barbadian Dollar</t>
  </si>
  <si>
    <t>pen</t>
  </si>
  <si>
    <t>PEN</t>
  </si>
  <si>
    <t>604</t>
  </si>
  <si>
    <t>Peruvian Nuevo Sol</t>
  </si>
  <si>
    <t>uyu</t>
  </si>
  <si>
    <t>UYU</t>
  </si>
  <si>
    <t>858</t>
  </si>
  <si>
    <t>Uruguayan Peso</t>
  </si>
  <si>
    <t>isk</t>
  </si>
  <si>
    <t>ISK</t>
  </si>
  <si>
    <t>352</t>
  </si>
  <si>
    <t>Icelandic Krona</t>
  </si>
  <si>
    <t>qar</t>
  </si>
  <si>
    <t>QAR</t>
  </si>
  <si>
    <t>634</t>
  </si>
  <si>
    <t>Qatari Rial</t>
  </si>
  <si>
    <t>bgn</t>
  </si>
  <si>
    <t>BGN</t>
  </si>
  <si>
    <t>975</t>
  </si>
  <si>
    <t>Bulgarian Lev</t>
  </si>
  <si>
    <t>amd</t>
  </si>
  <si>
    <t>AMD</t>
  </si>
  <si>
    <t>051</t>
  </si>
  <si>
    <t>Armenia Dram</t>
  </si>
  <si>
    <t>nio</t>
  </si>
  <si>
    <t>NIO</t>
  </si>
  <si>
    <t>558</t>
  </si>
  <si>
    <t>Nicaraguan Córdoba</t>
  </si>
  <si>
    <t>cny</t>
  </si>
  <si>
    <t>CNY</t>
  </si>
  <si>
    <t>156</t>
  </si>
  <si>
    <t>Chinese Yuan</t>
  </si>
  <si>
    <t>ils</t>
  </si>
  <si>
    <t>ILS</t>
  </si>
  <si>
    <t>376</t>
  </si>
  <si>
    <t>Israeli New Sheqel</t>
  </si>
  <si>
    <t>sgd</t>
  </si>
  <si>
    <t>SGD</t>
  </si>
  <si>
    <t>702</t>
  </si>
  <si>
    <t>Singapore Dollar</t>
  </si>
  <si>
    <t>try</t>
  </si>
  <si>
    <t>TRY</t>
  </si>
  <si>
    <t>949</t>
  </si>
  <si>
    <t>Turkish Lira</t>
  </si>
  <si>
    <t>tmt</t>
  </si>
  <si>
    <t>TMT</t>
  </si>
  <si>
    <t>934</t>
  </si>
  <si>
    <t>New Turkmenistan Manat</t>
  </si>
  <si>
    <t>kwd</t>
  </si>
  <si>
    <t>KWD</t>
  </si>
  <si>
    <t>414</t>
  </si>
  <si>
    <t>Kuwaiti Dinar</t>
  </si>
  <si>
    <t>sek</t>
  </si>
  <si>
    <t>SEK</t>
  </si>
  <si>
    <t>752</t>
  </si>
  <si>
    <t>Swedish Krona</t>
  </si>
  <si>
    <t>php</t>
  </si>
  <si>
    <t>PHP</t>
  </si>
  <si>
    <t>608</t>
  </si>
  <si>
    <t>Philippine Peso</t>
  </si>
  <si>
    <t>uah</t>
  </si>
  <si>
    <t>UAH</t>
  </si>
  <si>
    <t>980</t>
  </si>
  <si>
    <t>Ukrainian Hryvnia</t>
  </si>
  <si>
    <t>mur</t>
  </si>
  <si>
    <t>MUR</t>
  </si>
  <si>
    <t>480</t>
  </si>
  <si>
    <t>Mauritian Rupee</t>
  </si>
  <si>
    <t>ttd</t>
  </si>
  <si>
    <t>TTD</t>
  </si>
  <si>
    <t>780</t>
  </si>
  <si>
    <t>Trinidad Tobago Dollar</t>
  </si>
  <si>
    <t>twd</t>
  </si>
  <si>
    <t>TWD</t>
  </si>
  <si>
    <t>901</t>
  </si>
  <si>
    <t xml:space="preserve">New Taiwan Dollar </t>
  </si>
  <si>
    <t>jod</t>
  </si>
  <si>
    <t>JOD</t>
  </si>
  <si>
    <t>400</t>
  </si>
  <si>
    <t>Jordanian Dinar</t>
  </si>
  <si>
    <t>bnd</t>
  </si>
  <si>
    <t>BND</t>
  </si>
  <si>
    <t>096</t>
  </si>
  <si>
    <t>Brunei Dollar</t>
  </si>
  <si>
    <t>cost</t>
  </si>
  <si>
    <t>remaining</t>
  </si>
  <si>
    <t>poloniex</t>
  </si>
  <si>
    <t>Sum of Value</t>
  </si>
  <si>
    <t>You can always get the latest version from this URL</t>
  </si>
  <si>
    <t>https://github.com/vorapoap/auto-cryptocurrency-excel</t>
  </si>
  <si>
    <t>http://www.floatrates.com/daily/THB.json</t>
  </si>
  <si>
    <t>FloatRates.com API</t>
  </si>
  <si>
    <t>Select API from this link</t>
  </si>
  <si>
    <t>http://www.floatrates.com/json-feeds.html</t>
  </si>
  <si>
    <t>Working for only with THB</t>
  </si>
  <si>
    <t>Others, please use VLOOKUP</t>
  </si>
  <si>
    <t>Fiat</t>
  </si>
  <si>
    <t>usdthb</t>
  </si>
  <si>
    <t>bitfinex:neobtc</t>
  </si>
  <si>
    <t>bitfinex:neoeth</t>
  </si>
  <si>
    <t>bitfinex:neousd</t>
  </si>
  <si>
    <t>neobtc</t>
  </si>
  <si>
    <t>neoeth</t>
  </si>
  <si>
    <t>neousd</t>
  </si>
  <si>
    <t>You can now change your currency by going to FloatRates.com tab</t>
  </si>
  <si>
    <t>The above button won't be working because you are not downloading the file with macro</t>
  </si>
  <si>
    <t>2017-09-08T05:06:29.347</t>
  </si>
  <si>
    <t>2017-09-08T05:06:14</t>
  </si>
  <si>
    <t>2017-09-08T05:00:21.237</t>
  </si>
  <si>
    <t>2017-09-08T05:06:30.36</t>
  </si>
  <si>
    <t>2017-09-08T05:06:09.437</t>
  </si>
  <si>
    <t>2017-09-08T04:53:46.633</t>
  </si>
  <si>
    <t>2017-09-08T05:06:28.36</t>
  </si>
  <si>
    <t>2017-09-08T05:06:06.967</t>
  </si>
  <si>
    <t>2017-09-08T05:06:08.687</t>
  </si>
  <si>
    <t>2017-09-08T05:06:22.33</t>
  </si>
  <si>
    <t>2017-09-08T05:06:06.48</t>
  </si>
  <si>
    <t>2017-09-08T05:06:25.83</t>
  </si>
  <si>
    <t>2017-09-08T05:06:00.713</t>
  </si>
  <si>
    <t>2017-09-08T05:05:40.93</t>
  </si>
  <si>
    <t>2017-09-08T05:04:15.07</t>
  </si>
  <si>
    <t>2017-09-08T05:06:25.127</t>
  </si>
  <si>
    <t>2017-09-08T05:06:27.75</t>
  </si>
  <si>
    <t>2017-09-08T05:03:18.853</t>
  </si>
  <si>
    <t>2017-09-08T05:03:34.2</t>
  </si>
  <si>
    <t>2017-09-08T05:01:11.043</t>
  </si>
  <si>
    <t>2017-09-08T05:00:59.057</t>
  </si>
  <si>
    <t>2017-09-08T05:06:29.83</t>
  </si>
  <si>
    <t>2017-09-08T05:00:45.117</t>
  </si>
  <si>
    <t>2017-09-08T05:06:26.847</t>
  </si>
  <si>
    <t>2017-09-08T05:06:29.08</t>
  </si>
  <si>
    <t>2017-09-08T04:40:34.03</t>
  </si>
  <si>
    <t>2017-09-08T05:06:29.22</t>
  </si>
  <si>
    <t>2017-09-08T05:06:24.47</t>
  </si>
  <si>
    <t>2017-09-08T05:03:40.14</t>
  </si>
  <si>
    <t>2017-09-08T05:06:28.72</t>
  </si>
  <si>
    <t>2017-09-08T05:06:02.857</t>
  </si>
  <si>
    <t>2017-09-08T05:06:20.453</t>
  </si>
  <si>
    <t>2017-09-08T05:01:21.5</t>
  </si>
  <si>
    <t>2017-09-08T05:06:28.3</t>
  </si>
  <si>
    <t>2017-09-08T05:05:51.853</t>
  </si>
  <si>
    <t>2017-09-08T05:06:09.497</t>
  </si>
  <si>
    <t>2017-09-08T04:54:26.83</t>
  </si>
  <si>
    <t>2017-09-08T05:05:09.3</t>
  </si>
  <si>
    <t>2017-09-08T05:04:18.88</t>
  </si>
  <si>
    <t>2017-09-08T05:05:09.533</t>
  </si>
  <si>
    <t>2017-09-08T05:06:20.843</t>
  </si>
  <si>
    <t>2017-09-08T05:06:28.283</t>
  </si>
  <si>
    <t>2017-09-08T05:06:27.033</t>
  </si>
  <si>
    <t>2017-09-08T05:06:24.58</t>
  </si>
  <si>
    <t>2017-09-08T05:06:09.403</t>
  </si>
  <si>
    <t>2017-09-08T05:06:30.22</t>
  </si>
  <si>
    <t>2017-09-08T05:06:30.173</t>
  </si>
  <si>
    <t>2017-09-08T05:06:22.187</t>
  </si>
  <si>
    <t>2017-09-08T05:05:40.273</t>
  </si>
  <si>
    <t>2017-09-08T05:05:42.85</t>
  </si>
  <si>
    <t>2017-09-08T05:06:14.217</t>
  </si>
  <si>
    <t>2017-09-08T04:54:32.003</t>
  </si>
  <si>
    <t>2017-09-08T05:04:34.62</t>
  </si>
  <si>
    <t>2017-09-08T05:05:50.853</t>
  </si>
  <si>
    <t>2017-09-08T05:03:35.077</t>
  </si>
  <si>
    <t>2017-09-08T05:04:18.287</t>
  </si>
  <si>
    <t>2017-09-08T05:03:34.84</t>
  </si>
  <si>
    <t>2017-09-08T05:06:14.2</t>
  </si>
  <si>
    <t>2017-09-08T05:05:51.29</t>
  </si>
  <si>
    <t>2017-09-08T05:06:22.063</t>
  </si>
  <si>
    <t>2017-09-08T05:05:44.9</t>
  </si>
  <si>
    <t>2017-09-08T05:06:30.393</t>
  </si>
  <si>
    <t>2017-09-08T05:03:22.98</t>
  </si>
  <si>
    <t>2017-09-08T05:06:20.89</t>
  </si>
  <si>
    <t>2017-09-08T05:03:45.78</t>
  </si>
  <si>
    <t>2017-09-08T05:06:28.267</t>
  </si>
  <si>
    <t>2017-09-08T05:06:27.19</t>
  </si>
  <si>
    <t>2017-09-08T05:05:03.39</t>
  </si>
  <si>
    <t>2017-09-08T05:05:13.643</t>
  </si>
  <si>
    <t>2017-09-08T05:03:16.79</t>
  </si>
  <si>
    <t>2017-09-08T04:53:41.913</t>
  </si>
  <si>
    <t>2017-09-08T05:06:29.94</t>
  </si>
  <si>
    <t>2017-09-08T04:59:28.273</t>
  </si>
  <si>
    <t>2017-09-08T05:06:27.05</t>
  </si>
  <si>
    <t>2017-09-08T05:05:38.303</t>
  </si>
  <si>
    <t>2017-09-08T05:06:28.83</t>
  </si>
  <si>
    <t>2017-09-08T05:06:22.75</t>
  </si>
  <si>
    <t>2017-09-08T05:02:37.127</t>
  </si>
  <si>
    <t>2017-09-08T05:02:54.833</t>
  </si>
  <si>
    <t>2017-09-08T05:06:29.627</t>
  </si>
  <si>
    <t>2017-09-08T05:06:29.737</t>
  </si>
  <si>
    <t>2017-09-08T05:06:29.91</t>
  </si>
  <si>
    <t>BTC-HKG</t>
  </si>
  <si>
    <t>2017-09-02T00:22:01.02</t>
  </si>
  <si>
    <t>2017-02-02T21:57:49.22</t>
  </si>
  <si>
    <t>2017-09-08T05:06:21.08</t>
  </si>
  <si>
    <t>2017-09-08T05:02:01.133</t>
  </si>
  <si>
    <t>2017-09-08T05:06:30.283</t>
  </si>
  <si>
    <t>2017-09-08T04:58:08.63</t>
  </si>
  <si>
    <t>2017-09-08T05:06:22.58</t>
  </si>
  <si>
    <t>2017-09-08T04:53:15.453</t>
  </si>
  <si>
    <t>2017-09-08T05:06:24.407</t>
  </si>
  <si>
    <t>2017-09-08T05:05:18.97</t>
  </si>
  <si>
    <t>2017-09-08T05:06:04.137</t>
  </si>
  <si>
    <t>2017-09-08T05:05:18.533</t>
  </si>
  <si>
    <t>2017-09-08T05:06:11.233</t>
  </si>
  <si>
    <t>2017-09-08T05:06:00.06</t>
  </si>
  <si>
    <t>2017-09-08T05:01:44.91</t>
  </si>
  <si>
    <t>2017-09-08T05:06:26.283</t>
  </si>
  <si>
    <t>2017-09-08T05:06:29.8</t>
  </si>
  <si>
    <t>2017-09-08T05:05:29.66</t>
  </si>
  <si>
    <t>2017-09-08T05:06:28.487</t>
  </si>
  <si>
    <t>2017-09-08T05:06:29.313</t>
  </si>
  <si>
    <t>2017-09-08T05:06:03.857</t>
  </si>
  <si>
    <t>2017-09-08T05:05:53.51</t>
  </si>
  <si>
    <t>2017-09-08T05:06:28.643</t>
  </si>
  <si>
    <t>2017-09-08T05:06:02.777</t>
  </si>
  <si>
    <t>2017-09-08T05:06:07.687</t>
  </si>
  <si>
    <t>2017-09-08T05:06:29.283</t>
  </si>
  <si>
    <t>2017-09-08T05:04:38.73</t>
  </si>
  <si>
    <t>2017-09-08T05:06:17.563</t>
  </si>
  <si>
    <t>2017-09-08T05:03:42.547</t>
  </si>
  <si>
    <t>2017-09-08T05:06:24.86</t>
  </si>
  <si>
    <t>2017-09-08T05:06:23.58</t>
  </si>
  <si>
    <t>2017-09-08T05:06:21.937</t>
  </si>
  <si>
    <t>2017-09-08T05:05:54.183</t>
  </si>
  <si>
    <t>2017-09-08T05:06:26.597</t>
  </si>
  <si>
    <t>2017-09-08T05:05:50.557</t>
  </si>
  <si>
    <t>2017-09-08T05:06:23.063</t>
  </si>
  <si>
    <t>2017-09-08T05:06:26.563</t>
  </si>
  <si>
    <t>2017-09-08T05:05:11.813</t>
  </si>
  <si>
    <t>2017-09-08T05:03:39.56</t>
  </si>
  <si>
    <t>2017-09-08T05:06:30.033</t>
  </si>
  <si>
    <t>2017-09-08T05:01:10.89</t>
  </si>
  <si>
    <t>2017-09-08T05:06:23.377</t>
  </si>
  <si>
    <t>2017-09-08T05:06:26.533</t>
  </si>
  <si>
    <t>2017-09-08T05:05:13.393</t>
  </si>
  <si>
    <t>2017-09-08T05:06:22.89</t>
  </si>
  <si>
    <t>2017-09-08T05:06:28.237</t>
  </si>
  <si>
    <t>2017-09-08T05:06:19.953</t>
  </si>
  <si>
    <t>2017-09-08T05:00:46.477</t>
  </si>
  <si>
    <t>2017-09-08T05:05:17.613</t>
  </si>
  <si>
    <t>2017-09-08T05:01:56.587</t>
  </si>
  <si>
    <t>2017-09-08T05:06:29.097</t>
  </si>
  <si>
    <t>2017-09-08T05:06:26.22</t>
  </si>
  <si>
    <t>2017-09-08T05:06:29.957</t>
  </si>
  <si>
    <t>2017-09-08T05:06:25.39</t>
  </si>
  <si>
    <t>2017-09-08T05:05:56.9</t>
  </si>
  <si>
    <t>2017-09-08T05:06:14.687</t>
  </si>
  <si>
    <t>2017-09-08T05:05:58.027</t>
  </si>
  <si>
    <t>2017-09-08T05:06:17.97</t>
  </si>
  <si>
    <t>2017-09-08T05:05:13.173</t>
  </si>
  <si>
    <t>2017-09-08T05:06:22.14</t>
  </si>
  <si>
    <t>2017-09-08T05:06:24.72</t>
  </si>
  <si>
    <t>2017-09-08T05:06:16.56</t>
  </si>
  <si>
    <t>2017-09-08T05:06:05.09</t>
  </si>
  <si>
    <t>2017-09-08T05:04:18.833</t>
  </si>
  <si>
    <t>2017-09-08T04:56:50.817</t>
  </si>
  <si>
    <t>2017-09-08T05:05:57.37</t>
  </si>
  <si>
    <t>2017-09-08T05:06:09.467</t>
  </si>
  <si>
    <t>2017-09-08T05:06:16.78</t>
  </si>
  <si>
    <t>2017-09-08T05:06:26.407</t>
  </si>
  <si>
    <t>2017-09-08T05:06:26.907</t>
  </si>
  <si>
    <t>2017-09-08T05:06:23.83</t>
  </si>
  <si>
    <t>2017-09-08T05:06:26.157</t>
  </si>
  <si>
    <t>2017-09-08T05:06:29.207</t>
  </si>
  <si>
    <t>2017-09-08T05:06:29.877</t>
  </si>
  <si>
    <t>2017-09-08T05:06:21.267</t>
  </si>
  <si>
    <t>2017-09-08T05:03:04.833</t>
  </si>
  <si>
    <t>2017-09-08T04:41:25.683</t>
  </si>
  <si>
    <t>2017-09-08T05:06:18.843</t>
  </si>
  <si>
    <t>2017-09-08T05:06:02.42</t>
  </si>
  <si>
    <t>2017-09-08T05:05:53.637</t>
  </si>
  <si>
    <t>2017-09-08T05:06:29.72</t>
  </si>
  <si>
    <t>2017-09-08T05:06:03.747</t>
  </si>
  <si>
    <t>2017-09-08T05:06:29.063</t>
  </si>
  <si>
    <t>2017-09-08T05:05:57.247</t>
  </si>
  <si>
    <t>2017-09-08T05:06:10.263</t>
  </si>
  <si>
    <t>2017-09-08T05:06:01.497</t>
  </si>
  <si>
    <t>BTC-XBB</t>
  </si>
  <si>
    <t>2017-09-02T00:31:31.96</t>
  </si>
  <si>
    <t>2014-05-29T07:32:37.71</t>
  </si>
  <si>
    <t>2017-09-08T05:06:07.48</t>
  </si>
  <si>
    <t>2017-09-08T05:02:39.297</t>
  </si>
  <si>
    <t>2017-09-08T04:53:18.533</t>
  </si>
  <si>
    <t>2017-09-08T04:59:03.8</t>
  </si>
  <si>
    <t>2017-09-08T05:06:16.453</t>
  </si>
  <si>
    <t>2017-09-08T05:05:52.307</t>
  </si>
  <si>
    <t>2017-09-08T05:06:13.797</t>
  </si>
  <si>
    <t>2017-09-08T05:06:15.703</t>
  </si>
  <si>
    <t>2017-09-08T05:06:07.967</t>
  </si>
  <si>
    <t>2017-09-08T05:05:52.65</t>
  </si>
  <si>
    <t>2017-09-08T04:57:58.41</t>
  </si>
  <si>
    <t>2017-09-08T05:06:29.487</t>
  </si>
  <si>
    <t>2017-09-08T05:06:30.313</t>
  </si>
  <si>
    <t>2017-09-08T05:05:24.35</t>
  </si>
  <si>
    <t>2017-09-08T05:06:29.05</t>
  </si>
  <si>
    <t>2017-09-08T05:05:00.483</t>
  </si>
  <si>
    <t>2017-09-08T05:06:29.127</t>
  </si>
  <si>
    <t>2017-09-08T05:06:30.41</t>
  </si>
  <si>
    <t>2017-09-08T05:06:27.25</t>
  </si>
  <si>
    <t>2017-09-08T05:06:29.19</t>
  </si>
  <si>
    <t>2017-09-08T05:06:28.063</t>
  </si>
  <si>
    <t>2017-09-08T05:06:29.66</t>
  </si>
  <si>
    <t>2017-09-08T05:05:05.313</t>
  </si>
  <si>
    <t>2017-09-08T05:06:28.11</t>
  </si>
  <si>
    <t>2017-09-08T05:06:28.737</t>
  </si>
  <si>
    <t>2017-09-08T05:05:37.227</t>
  </si>
  <si>
    <t>2017-09-08T05:05:47.37</t>
  </si>
  <si>
    <t>2017-09-08T05:06:28.767</t>
  </si>
  <si>
    <t>2017-09-08T05:06:08.56</t>
  </si>
  <si>
    <t>2017-09-08T05:06:23.94</t>
  </si>
  <si>
    <t>2017-09-08T05:06:22.61</t>
  </si>
  <si>
    <t>2017-09-08T05:06:28.517</t>
  </si>
  <si>
    <t>2017-09-08T05:06:04.967</t>
  </si>
  <si>
    <t>2017-09-08T05:06:29.767</t>
  </si>
  <si>
    <t>2017-09-08T04:56:04.32</t>
  </si>
  <si>
    <t>2017-09-08T05:06:30.11</t>
  </si>
  <si>
    <t>2017-09-08T05:06:15.36</t>
  </si>
  <si>
    <t>2017-09-08T05:06:25.94</t>
  </si>
  <si>
    <t>2017-09-08T05:06:23.813</t>
  </si>
  <si>
    <t>2017-09-08T05:06:30.253</t>
  </si>
  <si>
    <t>2017-09-08T05:06:29.423</t>
  </si>
  <si>
    <t>2017-09-08T05:06:24.033</t>
  </si>
  <si>
    <t>2017-09-08T05:02:07.73</t>
  </si>
  <si>
    <t>2017-09-08T05:05:30.96</t>
  </si>
  <si>
    <t>2017-09-08T05:02:01.743</t>
  </si>
  <si>
    <t>2017-09-08T05:06:27.707</t>
  </si>
  <si>
    <t>2017-09-08T05:06:30.19</t>
  </si>
  <si>
    <t>2017-09-08T05:03:26.76</t>
  </si>
  <si>
    <t>2017-09-08T05:05:51.197</t>
  </si>
  <si>
    <t>2017-09-08T05:05:07.203</t>
  </si>
  <si>
    <t>2017-09-08T05:05:01.953</t>
  </si>
  <si>
    <t>2017-09-08T05:06:29.143</t>
  </si>
  <si>
    <t>2017-09-08T05:05:54.01</t>
  </si>
  <si>
    <t>Fri, 8 Sep 2017 00:00:02 GMT</t>
  </si>
  <si>
    <t>You need to click "Refresh All" to refresh all data (as shown in the guide below)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</si>
</sst>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7" formatCode="#,##0.0000"/>
  </numFmts>
  <fonts count="16">
    <font>
      <sz val="11"/>
      <color theme="1"/>
      <name val="Tahoma"/>
      <family val="2"/>
      <charset val="222"/>
      <scheme val="minor"/>
    </font>
    <font>
      <sz val="11"/>
      <color rgb="FF006100"/>
      <name val="Tahoma"/>
      <family val="2"/>
      <charset val="222"/>
      <scheme val="minor"/>
    </font>
    <font>
      <i/>
      <sz val="11"/>
      <color rgb="FF7F7F7F"/>
      <name val="Tahoma"/>
      <family val="2"/>
      <charset val="222"/>
      <scheme val="minor"/>
    </font>
    <font>
      <b/>
      <sz val="11"/>
      <color theme="1"/>
      <name val="Tahoma"/>
      <family val="2"/>
      <charset val="222"/>
      <scheme val="minor"/>
    </font>
    <font>
      <sz val="11"/>
      <color theme="0"/>
      <name val="Tahoma"/>
      <family val="2"/>
      <charset val="222"/>
      <scheme val="minor"/>
    </font>
    <font>
      <b/>
      <sz val="11"/>
      <color rgb="FF006100"/>
      <name val="Tahoma"/>
      <family val="2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1"/>
      <color rgb="FF333333"/>
      <name val="Consolas"/>
      <family val="3"/>
    </font>
    <font>
      <b/>
      <sz val="11"/>
      <color rgb="FF333333"/>
      <name val="Consolas"/>
      <family val="3"/>
      <charset val="222"/>
    </font>
    <font>
      <b/>
      <sz val="11"/>
      <color theme="1"/>
      <name val="Tahoma"/>
      <family val="2"/>
      <scheme val="minor"/>
    </font>
    <font>
      <b/>
      <sz val="11"/>
      <color theme="0"/>
      <name val="Tahoma"/>
      <family val="2"/>
      <charset val="222"/>
      <scheme val="minor"/>
    </font>
    <font>
      <u/>
      <sz val="11"/>
      <color theme="10"/>
      <name val="Tahoma"/>
      <family val="2"/>
      <charset val="222"/>
      <scheme val="minor"/>
    </font>
    <font>
      <b/>
      <sz val="11"/>
      <color theme="0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rgb="FFFF0000"/>
      <name val="Tahom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/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11" fillId="5" borderId="14" applyNumberFormat="0" applyAlignment="0" applyProtection="0"/>
    <xf numFmtId="0" fontId="12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NumberFormat="1"/>
    <xf numFmtId="0" fontId="3" fillId="0" borderId="0" xfId="0" applyFont="1"/>
    <xf numFmtId="0" fontId="0" fillId="0" borderId="0" xfId="0" applyFont="1"/>
    <xf numFmtId="0" fontId="0" fillId="0" borderId="1" xfId="0" applyFont="1" applyBorder="1" applyAlignment="1">
      <alignment vertical="center"/>
    </xf>
    <xf numFmtId="0" fontId="5" fillId="2" borderId="0" xfId="1" applyFont="1"/>
    <xf numFmtId="0" fontId="6" fillId="0" borderId="0" xfId="0" applyFont="1"/>
    <xf numFmtId="0" fontId="7" fillId="0" borderId="0" xfId="0" applyFont="1"/>
    <xf numFmtId="0" fontId="8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10" fillId="0" borderId="0" xfId="0" applyFont="1"/>
    <xf numFmtId="18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10" xfId="0" applyFont="1" applyFill="1" applyBorder="1" applyAlignment="1">
      <alignment horizontal="left"/>
    </xf>
    <xf numFmtId="0" fontId="0" fillId="3" borderId="10" xfId="0" applyNumberFormat="1" applyFont="1" applyFill="1" applyBorder="1"/>
    <xf numFmtId="0" fontId="0" fillId="0" borderId="8" xfId="0" applyFont="1" applyBorder="1" applyAlignment="1">
      <alignment horizontal="left"/>
    </xf>
    <xf numFmtId="0" fontId="0" fillId="0" borderId="8" xfId="0" applyNumberFormat="1" applyFont="1" applyBorder="1"/>
    <xf numFmtId="0" fontId="0" fillId="0" borderId="9" xfId="0" applyFont="1" applyBorder="1" applyAlignment="1">
      <alignment horizontal="left"/>
    </xf>
    <xf numFmtId="0" fontId="0" fillId="0" borderId="9" xfId="0" applyNumberFormat="1" applyFont="1" applyBorder="1"/>
    <xf numFmtId="0" fontId="0" fillId="0" borderId="0" xfId="0" applyBorder="1"/>
    <xf numFmtId="0" fontId="10" fillId="0" borderId="2" xfId="0" applyFont="1" applyBorder="1"/>
    <xf numFmtId="0" fontId="10" fillId="0" borderId="11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0" xfId="0" applyNumberFormat="1" applyFont="1" applyBorder="1"/>
    <xf numFmtId="0" fontId="10" fillId="0" borderId="0" xfId="0" applyFont="1" applyBorder="1"/>
    <xf numFmtId="187" fontId="10" fillId="0" borderId="3" xfId="0" applyNumberFormat="1" applyFont="1" applyBorder="1"/>
    <xf numFmtId="0" fontId="10" fillId="0" borderId="4" xfId="0" applyNumberFormat="1" applyFont="1" applyBorder="1"/>
    <xf numFmtId="187" fontId="10" fillId="0" borderId="5" xfId="0" applyNumberFormat="1" applyFont="1" applyBorder="1"/>
    <xf numFmtId="0" fontId="10" fillId="0" borderId="6" xfId="0" applyNumberFormat="1" applyFont="1" applyBorder="1"/>
    <xf numFmtId="0" fontId="10" fillId="0" borderId="12" xfId="0" applyNumberFormat="1" applyFont="1" applyBorder="1"/>
    <xf numFmtId="187" fontId="10" fillId="0" borderId="7" xfId="0" applyNumberFormat="1" applyFont="1" applyBorder="1"/>
    <xf numFmtId="0" fontId="0" fillId="0" borderId="13" xfId="0" applyBorder="1"/>
    <xf numFmtId="0" fontId="10" fillId="0" borderId="5" xfId="0" applyNumberFormat="1" applyFont="1" applyBorder="1"/>
    <xf numFmtId="0" fontId="4" fillId="4" borderId="0" xfId="0" applyFont="1" applyFill="1"/>
    <xf numFmtId="0" fontId="2" fillId="0" borderId="0" xfId="2"/>
    <xf numFmtId="0" fontId="5" fillId="2" borderId="0" xfId="1" applyFont="1" applyBorder="1" applyAlignment="1">
      <alignment vertical="center"/>
    </xf>
    <xf numFmtId="0" fontId="5" fillId="2" borderId="13" xfId="1" applyFont="1" applyBorder="1"/>
    <xf numFmtId="0" fontId="12" fillId="0" borderId="0" xfId="4"/>
    <xf numFmtId="0" fontId="13" fillId="4" borderId="0" xfId="0" applyFont="1" applyFill="1" applyBorder="1"/>
    <xf numFmtId="0" fontId="14" fillId="0" borderId="0" xfId="0" applyFont="1"/>
    <xf numFmtId="0" fontId="11" fillId="5" borderId="14" xfId="3"/>
    <xf numFmtId="0" fontId="12" fillId="0" borderId="0" xfId="4" applyFill="1"/>
    <xf numFmtId="0" fontId="15" fillId="0" borderId="0" xfId="0" applyFont="1"/>
    <xf numFmtId="0" fontId="3" fillId="0" borderId="4" xfId="0" applyNumberFormat="1" applyFont="1" applyBorder="1"/>
    <xf numFmtId="0" fontId="3" fillId="0" borderId="0" xfId="0" applyNumberFormat="1" applyFont="1"/>
    <xf numFmtId="0" fontId="3" fillId="0" borderId="5" xfId="0" applyNumberFormat="1" applyFont="1" applyBorder="1"/>
    <xf numFmtId="0" fontId="5" fillId="2" borderId="0" xfId="1" applyFont="1" applyAlignment="1">
      <alignment horizontal="center"/>
    </xf>
  </cellXfs>
  <cellStyles count="5">
    <cellStyle name="Check Cell" xfId="3" builtinId="23"/>
    <cellStyle name="Explanatory Text" xfId="2" builtinId="53"/>
    <cellStyle name="Good" xfId="1" builtinId="26"/>
    <cellStyle name="Hyperlink" xfId="4" builtinId="8"/>
    <cellStyle name="Normal" xfId="0" builtinId="0"/>
  </cellStyles>
  <dxfs count="24"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ahoma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187" formatCode="#,##0.000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222"/>
        <scheme val="minor"/>
      </font>
      <numFmt numFmtId="0" formatCode="General"/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22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/>
      </font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187" formatCode="#,##0.000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FF"/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160020</xdr:rowOff>
    </xdr:from>
    <xdr:to>
      <xdr:col>9</xdr:col>
      <xdr:colOff>4381500</xdr:colOff>
      <xdr:row>8</xdr:row>
      <xdr:rowOff>68580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0AB4DD-1089-4892-BDFE-DC57668A80E2}"/>
            </a:ext>
          </a:extLst>
        </xdr:cNvPr>
        <xdr:cNvSpPr/>
      </xdr:nvSpPr>
      <xdr:spPr>
        <a:xfrm>
          <a:off x="6027420" y="693420"/>
          <a:ext cx="4381500" cy="853440"/>
        </a:xfrm>
        <a:prstGeom prst="round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CLICK TO REFRESH</a:t>
          </a:r>
          <a:endParaRPr lang="th-TH" sz="3600"/>
        </a:p>
      </xdr:txBody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9</xdr:col>
      <xdr:colOff>4655820</xdr:colOff>
      <xdr:row>22</xdr:row>
      <xdr:rowOff>144266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CE85D4E-0636-4F29-82F5-7BA262DDD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7420" y="2987040"/>
          <a:ext cx="4655820" cy="12186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8</xdr:col>
      <xdr:colOff>342900</xdr:colOff>
      <xdr:row>5</xdr:row>
      <xdr:rowOff>7620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43CE2B-0FA7-4F48-ADE8-26BED215D715}"/>
            </a:ext>
          </a:extLst>
        </xdr:cNvPr>
        <xdr:cNvSpPr/>
      </xdr:nvSpPr>
      <xdr:spPr>
        <a:xfrm>
          <a:off x="5090160" y="350520"/>
          <a:ext cx="2354580" cy="533400"/>
        </a:xfrm>
        <a:prstGeom prst="round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REFRESH BUTTON</a:t>
          </a:r>
          <a:endParaRPr lang="th-TH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10</xdr:col>
      <xdr:colOff>2339340</xdr:colOff>
      <xdr:row>14</xdr:row>
      <xdr:rowOff>7620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530FE2E-45FE-4798-B423-5A7A44D5E865}"/>
            </a:ext>
          </a:extLst>
        </xdr:cNvPr>
        <xdr:cNvSpPr/>
      </xdr:nvSpPr>
      <xdr:spPr>
        <a:xfrm>
          <a:off x="10820400" y="1927860"/>
          <a:ext cx="2339340" cy="533400"/>
        </a:xfrm>
        <a:prstGeom prst="round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REFRESH BUTTON</a:t>
          </a:r>
          <a:endParaRPr lang="th-TH" sz="2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วรภพ โล่ห์วงศ์วัฒน" refreshedDate="42986.504446990744" createdVersion="6" refreshedVersion="6" minRefreshableVersion="3" recordCount="242">
  <cacheSource type="worksheet">
    <worksheetSource name="CRYPTOWAT"/>
  </cacheSource>
  <cacheFields count="4">
    <cacheField name="Name" numFmtId="0">
      <sharedItems/>
    </cacheField>
    <cacheField name="Value" numFmtId="0">
      <sharedItems containsSemiMixedTypes="0" containsString="0" containsNumber="1" minValue="0" maxValue="61542960"/>
    </cacheField>
    <cacheField name="Source" numFmtId="0">
      <sharedItems count="19">
        <s v="bitfinex"/>
        <s v="bitflyer"/>
        <s v="bithumb"/>
        <s v="bitmex"/>
        <s v="bitsquare"/>
        <s v="bitstamp"/>
        <s v="bitvc"/>
        <s v="btc-china"/>
        <s v="cexio"/>
        <s v="gdax"/>
        <s v="gemini"/>
        <s v="huobi"/>
        <s v="kraken"/>
        <s v="luno"/>
        <s v="okcoin"/>
        <s v="poloniex"/>
        <s v="qryptos"/>
        <s v="quoine"/>
        <e v="#VALUE!" u="1"/>
      </sharedItems>
    </cacheField>
    <cacheField name="Ticker" numFmtId="0">
      <sharedItems count="138">
        <s v="bccbtc"/>
        <s v="bccusd"/>
        <s v="bchbtc"/>
        <s v="bcheth"/>
        <s v="bchusd"/>
        <s v="bcubtc"/>
        <s v="bcuusd"/>
        <s v="bfxusd"/>
        <s v="btcusd"/>
        <s v="dashbtc"/>
        <s v="dashusd"/>
        <s v="eosbtc"/>
        <s v="eoseth"/>
        <s v="eosusd"/>
        <s v="etcbtc"/>
        <s v="etcusd"/>
        <s v="ethbtc"/>
        <s v="ethusd"/>
        <s v="iotbtc"/>
        <s v="ioteth"/>
        <s v="iotusd"/>
        <s v="ltcbtc"/>
        <s v="ltcusd"/>
        <s v="neobtc"/>
        <s v="neoeth"/>
        <s v="neousd"/>
        <s v="omgbtc"/>
        <s v="omgeth"/>
        <s v="omgusd"/>
        <s v="xmrbtc"/>
        <s v="xmrusd"/>
        <s v="xrpbtc"/>
        <s v="xrpusd"/>
        <s v="zecbtc"/>
        <s v="zecusd"/>
        <s v="btcfxjpy"/>
        <s v="btcjpy"/>
        <s v="btcjpy-biweekly-futures"/>
        <s v="btcjpy-weekly-futures"/>
        <s v="bchkrw"/>
        <s v="btckrw"/>
        <s v="dashkrw"/>
        <s v="etckrw"/>
        <s v="ethkrw"/>
        <s v="ltckrw"/>
        <s v="xmrkrw"/>
        <s v="xrpkrw"/>
        <s v="xbt-monthly-futures"/>
        <s v="xbt-perpetual-futures"/>
        <s v="btcaud"/>
        <s v="btceur"/>
        <s v="etheur"/>
        <s v="eurusd"/>
        <s v="ltceur"/>
        <s v="xrpeur"/>
        <s v="btccny-quarterly-futures"/>
        <s v="btccny-weekly-futures"/>
        <s v="ltccny-quarterly-futures"/>
        <s v="ltccny-weekly-futures"/>
        <s v="btccny"/>
        <s v="ltccny"/>
        <s v="btcgbp"/>
        <s v="bcheur"/>
        <s v="btccad"/>
        <s v="dasheur"/>
        <s v="dogebtc"/>
        <s v="eoseur"/>
        <s v="etceth"/>
        <s v="etceur"/>
        <s v="ethcad"/>
        <s v="ethgbp"/>
        <s v="ethjpy"/>
        <s v="gnobtc"/>
        <s v="gnoeth"/>
        <s v="gnoeur"/>
        <s v="gnousd"/>
        <s v="icnbtc"/>
        <s v="icneth"/>
        <s v="ltccad"/>
        <s v="mlnbtc"/>
        <s v="mlneth"/>
        <s v="repbtc"/>
        <s v="repcad"/>
        <s v="repeth"/>
        <s v="repeur"/>
        <s v="repjpy"/>
        <s v="repusd"/>
        <s v="strbtc"/>
        <s v="streur"/>
        <s v="strusd"/>
        <s v="usdtusd"/>
        <s v="xmreur"/>
        <s v="xrpcad"/>
        <s v="xrpjpy"/>
        <s v="zeccad"/>
        <s v="zeceur"/>
        <s v="zecgbp"/>
        <s v="zecjpy"/>
        <s v="btczar"/>
        <s v="btcusd-biweekly-futures"/>
        <s v="btcusd-quarterly-futures"/>
        <s v="btcusd-weekly-futures"/>
        <s v="ltcusd-biweekly-futures"/>
        <s v="ltcusd-quarterly-futures"/>
        <s v="ltcusd-weekly-futures"/>
        <s v="btsbtc"/>
        <s v="daobtc"/>
        <s v="daoeth"/>
        <s v="dgbbtc"/>
        <s v="fctbtc"/>
        <s v="gntbtc"/>
        <s v="lskbtc"/>
        <s v="lsketh"/>
        <s v="ltcxmr"/>
        <s v="maidbtc"/>
        <s v="navbtc"/>
        <s v="nxtbtc"/>
        <s v="nxtusd"/>
        <s v="nxtxmr"/>
        <s v="sdcbtc"/>
        <s v="stratbtc"/>
        <s v="zeceth"/>
        <s v="zecxmr"/>
        <s v="bchjpy"/>
        <s v="bchsgd"/>
        <s v="btchkd"/>
        <s v="btcidr"/>
        <s v="btcinr"/>
        <s v="btcphp"/>
        <s v="btcsgd"/>
        <s v="ethaud"/>
        <s v="ethcny"/>
        <s v="ethhkd"/>
        <s v="ethidr"/>
        <s v="ethinr"/>
        <s v="ethphp"/>
        <s v="ethsgd"/>
        <e v="#VALUE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2">
  <r>
    <s v="bitfinex:bccbtc"/>
    <n v="0.87990000000000002"/>
    <x v="0"/>
    <x v="0"/>
  </r>
  <r>
    <s v="bitfinex:bccusd"/>
    <n v="3800"/>
    <x v="0"/>
    <x v="1"/>
  </r>
  <r>
    <s v="bitfinex:bchbtc"/>
    <n v="0.14299999999999999"/>
    <x v="0"/>
    <x v="2"/>
  </r>
  <r>
    <s v="bitfinex:bcheth"/>
    <n v="1.9883"/>
    <x v="0"/>
    <x v="3"/>
  </r>
  <r>
    <s v="bitfinex:bchusd"/>
    <n v="658.92"/>
    <x v="0"/>
    <x v="4"/>
  </r>
  <r>
    <s v="bitfinex:bcubtc"/>
    <n v="0.15498999999999999"/>
    <x v="0"/>
    <x v="5"/>
  </r>
  <r>
    <s v="bitfinex:bcuusd"/>
    <n v="640"/>
    <x v="0"/>
    <x v="6"/>
  </r>
  <r>
    <s v="bitfinex:bfxusd"/>
    <n v="0.99980000000000002"/>
    <x v="0"/>
    <x v="7"/>
  </r>
  <r>
    <s v="bitfinex:btcusd"/>
    <n v="4603"/>
    <x v="0"/>
    <x v="8"/>
  </r>
  <r>
    <s v="bitfinex:dashbtc"/>
    <n v="7.4440999999999993E-2"/>
    <x v="0"/>
    <x v="9"/>
  </r>
  <r>
    <s v="bitfinex:dashusd"/>
    <n v="344"/>
    <x v="0"/>
    <x v="10"/>
  </r>
  <r>
    <s v="bitfinex:eosbtc"/>
    <n v="2.0939999999999999E-4"/>
    <x v="0"/>
    <x v="11"/>
  </r>
  <r>
    <s v="bitfinex:eoseth"/>
    <n v="2.9069999999999999E-3"/>
    <x v="0"/>
    <x v="12"/>
  </r>
  <r>
    <s v="bitfinex:eosusd"/>
    <n v="0.96650000000000003"/>
    <x v="0"/>
    <x v="13"/>
  </r>
  <r>
    <s v="bitfinex:etcbtc"/>
    <n v="3.9947999999999997E-3"/>
    <x v="0"/>
    <x v="14"/>
  </r>
  <r>
    <s v="bitfinex:etcusd"/>
    <n v="18.367999999999999"/>
    <x v="0"/>
    <x v="15"/>
  </r>
  <r>
    <s v="bitfinex:ethbtc"/>
    <n v="7.2500999999999996E-2"/>
    <x v="0"/>
    <x v="16"/>
  </r>
  <r>
    <s v="bitfinex:ethusd"/>
    <n v="333.37"/>
    <x v="0"/>
    <x v="17"/>
  </r>
  <r>
    <s v="bitfinex:iotbtc"/>
    <n v="1.4009999999999999E-4"/>
    <x v="0"/>
    <x v="18"/>
  </r>
  <r>
    <s v="bitfinex:ioteth"/>
    <n v="1.9469000000000001E-3"/>
    <x v="0"/>
    <x v="19"/>
  </r>
  <r>
    <s v="bitfinex:iotusd"/>
    <n v="0.64824000000000004"/>
    <x v="0"/>
    <x v="20"/>
  </r>
  <r>
    <s v="bitfinex:ltcbtc"/>
    <n v="1.7496999999999999E-2"/>
    <x v="0"/>
    <x v="21"/>
  </r>
  <r>
    <s v="bitfinex:ltcusd"/>
    <n v="80.459999999999994"/>
    <x v="0"/>
    <x v="22"/>
  </r>
  <r>
    <s v="bitfinex:neobtc"/>
    <n v="6.7000000000000002E-3"/>
    <x v="0"/>
    <x v="23"/>
  </r>
  <r>
    <s v="bitfinex:neoeth"/>
    <n v="9.1955999999999996E-2"/>
    <x v="0"/>
    <x v="24"/>
  </r>
  <r>
    <s v="bitfinex:neousd"/>
    <n v="30.867000000000001"/>
    <x v="0"/>
    <x v="25"/>
  </r>
  <r>
    <s v="bitfinex:omgbtc"/>
    <n v="2.7317000000000001E-3"/>
    <x v="0"/>
    <x v="26"/>
  </r>
  <r>
    <s v="bitfinex:omgeth"/>
    <n v="3.7925E-2"/>
    <x v="0"/>
    <x v="27"/>
  </r>
  <r>
    <s v="bitfinex:omgusd"/>
    <n v="12.529"/>
    <x v="0"/>
    <x v="28"/>
  </r>
  <r>
    <s v="bitfinex:xmrbtc"/>
    <n v="2.5906999999999999E-2"/>
    <x v="0"/>
    <x v="29"/>
  </r>
  <r>
    <s v="bitfinex:xmrusd"/>
    <n v="119.3"/>
    <x v="0"/>
    <x v="30"/>
  </r>
  <r>
    <s v="bitfinex:xrpbtc"/>
    <n v="4.9499999999999997E-5"/>
    <x v="0"/>
    <x v="31"/>
  </r>
  <r>
    <s v="bitfinex:xrpusd"/>
    <n v="0.22789999999999999"/>
    <x v="0"/>
    <x v="32"/>
  </r>
  <r>
    <s v="bitfinex:zecbtc"/>
    <n v="5.3298999999999999E-2"/>
    <x v="0"/>
    <x v="33"/>
  </r>
  <r>
    <s v="bitfinex:zecusd"/>
    <n v="245.15"/>
    <x v="0"/>
    <x v="34"/>
  </r>
  <r>
    <s v="bitflyer:bchbtc"/>
    <n v="0.14557999999999999"/>
    <x v="1"/>
    <x v="2"/>
  </r>
  <r>
    <s v="bitflyer:btcfxjpy"/>
    <n v="515300"/>
    <x v="1"/>
    <x v="35"/>
  </r>
  <r>
    <s v="bitflyer:btcjpy"/>
    <n v="502403"/>
    <x v="1"/>
    <x v="36"/>
  </r>
  <r>
    <s v="bitflyer:btcjpy-biweekly-futures"/>
    <n v="503130"/>
    <x v="1"/>
    <x v="37"/>
  </r>
  <r>
    <s v="bitflyer:btcjpy-weekly-futures"/>
    <n v="504239"/>
    <x v="1"/>
    <x v="38"/>
  </r>
  <r>
    <s v="bitflyer:ethbtc"/>
    <n v="7.2470000000000007E-2"/>
    <x v="1"/>
    <x v="16"/>
  </r>
  <r>
    <s v="bithumb:bchkrw"/>
    <n v="724200"/>
    <x v="2"/>
    <x v="39"/>
  </r>
  <r>
    <s v="bithumb:btckrw"/>
    <n v="5068000"/>
    <x v="2"/>
    <x v="40"/>
  </r>
  <r>
    <s v="bithumb:dashkrw"/>
    <n v="378600"/>
    <x v="2"/>
    <x v="41"/>
  </r>
  <r>
    <s v="bithumb:etckrw"/>
    <n v="20410"/>
    <x v="2"/>
    <x v="42"/>
  </r>
  <r>
    <s v="bithumb:ethkrw"/>
    <n v="365900"/>
    <x v="2"/>
    <x v="43"/>
  </r>
  <r>
    <s v="bithumb:ltckrw"/>
    <n v="88770"/>
    <x v="2"/>
    <x v="44"/>
  </r>
  <r>
    <s v="bithumb:xmrkrw"/>
    <n v="131910"/>
    <x v="2"/>
    <x v="45"/>
  </r>
  <r>
    <s v="bithumb:xrpkrw"/>
    <n v="251"/>
    <x v="2"/>
    <x v="46"/>
  </r>
  <r>
    <s v="bitmex:xbt-monthly-futures"/>
    <n v="4607.3"/>
    <x v="3"/>
    <x v="47"/>
  </r>
  <r>
    <s v="bitmex:xbt-perpetual-futures"/>
    <n v="4615.3"/>
    <x v="3"/>
    <x v="48"/>
  </r>
  <r>
    <s v="bitsquare:btcaud"/>
    <n v="5440.9306999999999"/>
    <x v="4"/>
    <x v="49"/>
  </r>
  <r>
    <s v="bitsquare:btceur"/>
    <n v="3850.4884999999999"/>
    <x v="4"/>
    <x v="50"/>
  </r>
  <r>
    <s v="bitsquare:btcusd"/>
    <n v="4671.0789999999997"/>
    <x v="4"/>
    <x v="8"/>
  </r>
  <r>
    <s v="bitsquare:etcbtc"/>
    <n v="6.7372300000000003E-3"/>
    <x v="4"/>
    <x v="14"/>
  </r>
  <r>
    <s v="bitsquare:ethbtc"/>
    <n v="7.991695E-2"/>
    <x v="4"/>
    <x v="16"/>
  </r>
  <r>
    <s v="bitsquare:ltcbtc"/>
    <n v="1.2999999999999999E-2"/>
    <x v="4"/>
    <x v="21"/>
  </r>
  <r>
    <s v="bitstamp:btceur"/>
    <n v="3889"/>
    <x v="5"/>
    <x v="50"/>
  </r>
  <r>
    <s v="bitstamp:btcusd"/>
    <n v="4609.49"/>
    <x v="5"/>
    <x v="8"/>
  </r>
  <r>
    <s v="bitstamp:ethbtc"/>
    <n v="7.2419990000000004E-2"/>
    <x v="5"/>
    <x v="16"/>
  </r>
  <r>
    <s v="bitstamp:etheur"/>
    <n v="282.25"/>
    <x v="5"/>
    <x v="51"/>
  </r>
  <r>
    <s v="bitstamp:ethusd"/>
    <n v="334"/>
    <x v="5"/>
    <x v="17"/>
  </r>
  <r>
    <s v="bitstamp:eurusd"/>
    <n v="1.18347"/>
    <x v="5"/>
    <x v="52"/>
  </r>
  <r>
    <s v="bitstamp:ltcbtc"/>
    <n v="1.7529579999999999E-2"/>
    <x v="5"/>
    <x v="21"/>
  </r>
  <r>
    <s v="bitstamp:ltceur"/>
    <n v="68.400000000000006"/>
    <x v="5"/>
    <x v="53"/>
  </r>
  <r>
    <s v="bitstamp:ltcusd"/>
    <n v="80.81"/>
    <x v="5"/>
    <x v="22"/>
  </r>
  <r>
    <s v="bitstamp:xrpbtc"/>
    <n v="4.935E-5"/>
    <x v="5"/>
    <x v="31"/>
  </r>
  <r>
    <s v="bitstamp:xrpeur"/>
    <n v="0.19287000000000001"/>
    <x v="5"/>
    <x v="54"/>
  </r>
  <r>
    <s v="bitstamp:xrpusd"/>
    <n v="0.22839999999999999"/>
    <x v="5"/>
    <x v="32"/>
  </r>
  <r>
    <s v="bitvc:btccny-quarterly-futures"/>
    <n v="30050"/>
    <x v="6"/>
    <x v="55"/>
  </r>
  <r>
    <s v="bitvc:btccny-weekly-futures"/>
    <n v="30050"/>
    <x v="6"/>
    <x v="56"/>
  </r>
  <r>
    <s v="bitvc:ltccny-quarterly-futures"/>
    <n v="410.53"/>
    <x v="6"/>
    <x v="57"/>
  </r>
  <r>
    <s v="bitvc:ltccny-weekly-futures"/>
    <n v="410.53"/>
    <x v="6"/>
    <x v="58"/>
  </r>
  <r>
    <s v="btc-china:btccny"/>
    <n v="28869.97"/>
    <x v="7"/>
    <x v="59"/>
  </r>
  <r>
    <s v="btc-china:ltcbtc"/>
    <n v="1.6500000000000001E-2"/>
    <x v="7"/>
    <x v="21"/>
  </r>
  <r>
    <s v="btc-china:ltccny"/>
    <n v="502.92"/>
    <x v="7"/>
    <x v="60"/>
  </r>
  <r>
    <s v="cexio:bchusd"/>
    <n v="686"/>
    <x v="8"/>
    <x v="4"/>
  </r>
  <r>
    <s v="cexio:btceur"/>
    <n v="3980"/>
    <x v="8"/>
    <x v="50"/>
  </r>
  <r>
    <s v="cexio:btcusd"/>
    <n v="4791.915"/>
    <x v="8"/>
    <x v="8"/>
  </r>
  <r>
    <s v="cexio:ethbtc"/>
    <n v="7.2179030000000005E-2"/>
    <x v="8"/>
    <x v="16"/>
  </r>
  <r>
    <s v="cexio:ltcbtc"/>
    <n v="4.4989100000000001E-3"/>
    <x v="8"/>
    <x v="21"/>
  </r>
  <r>
    <s v="cexio:ltcusd"/>
    <n v="4.37"/>
    <x v="8"/>
    <x v="22"/>
  </r>
  <r>
    <s v="gdax:btceur"/>
    <n v="3878.6"/>
    <x v="9"/>
    <x v="50"/>
  </r>
  <r>
    <s v="gdax:btcgbp"/>
    <n v="3555.38"/>
    <x v="9"/>
    <x v="61"/>
  </r>
  <r>
    <s v="gdax:btcusd"/>
    <n v="4621.8999999999996"/>
    <x v="9"/>
    <x v="8"/>
  </r>
  <r>
    <s v="gdax:ethbtc"/>
    <n v="7.2340000000000002E-2"/>
    <x v="9"/>
    <x v="16"/>
  </r>
  <r>
    <s v="gdax:etheur"/>
    <n v="279.39999999999998"/>
    <x v="9"/>
    <x v="51"/>
  </r>
  <r>
    <s v="gdax:ethusd"/>
    <n v="334.55"/>
    <x v="9"/>
    <x v="17"/>
  </r>
  <r>
    <s v="gdax:ltcbtc"/>
    <n v="1.7469999999999999E-2"/>
    <x v="9"/>
    <x v="21"/>
  </r>
  <r>
    <s v="gdax:ltceur"/>
    <n v="67.77"/>
    <x v="9"/>
    <x v="53"/>
  </r>
  <r>
    <s v="gdax:ltcusd"/>
    <n v="80.97"/>
    <x v="9"/>
    <x v="22"/>
  </r>
  <r>
    <s v="gemini:btcusd"/>
    <n v="4621.08"/>
    <x v="10"/>
    <x v="8"/>
  </r>
  <r>
    <s v="gemini:ethbtc"/>
    <n v="7.2410000000000002E-2"/>
    <x v="10"/>
    <x v="16"/>
  </r>
  <r>
    <s v="gemini:ethusd"/>
    <n v="334.21"/>
    <x v="10"/>
    <x v="17"/>
  </r>
  <r>
    <s v="huobi:btccny"/>
    <n v="28660"/>
    <x v="11"/>
    <x v="59"/>
  </r>
  <r>
    <s v="huobi:ltccny"/>
    <n v="502"/>
    <x v="11"/>
    <x v="60"/>
  </r>
  <r>
    <s v="kraken:bchbtc"/>
    <n v="0.1426"/>
    <x v="12"/>
    <x v="2"/>
  </r>
  <r>
    <s v="kraken:bcheur"/>
    <n v="556.5"/>
    <x v="12"/>
    <x v="62"/>
  </r>
  <r>
    <s v="kraken:bchusd"/>
    <n v="666"/>
    <x v="12"/>
    <x v="4"/>
  </r>
  <r>
    <s v="kraken:btccad"/>
    <n v="5820"/>
    <x v="12"/>
    <x v="63"/>
  </r>
  <r>
    <s v="kraken:btceur"/>
    <n v="3880"/>
    <x v="12"/>
    <x v="50"/>
  </r>
  <r>
    <s v="kraken:btcgbp"/>
    <n v="3018"/>
    <x v="12"/>
    <x v="61"/>
  </r>
  <r>
    <s v="kraken:btcjpy"/>
    <n v="501345"/>
    <x v="12"/>
    <x v="36"/>
  </r>
  <r>
    <s v="kraken:btcusd"/>
    <n v="4669.5"/>
    <x v="12"/>
    <x v="8"/>
  </r>
  <r>
    <s v="kraken:dashbtc"/>
    <n v="7.4990000000000001E-2"/>
    <x v="12"/>
    <x v="9"/>
  </r>
  <r>
    <s v="kraken:dasheur"/>
    <n v="292.03800000000001"/>
    <x v="12"/>
    <x v="64"/>
  </r>
  <r>
    <s v="kraken:dashusd"/>
    <n v="348.62"/>
    <x v="12"/>
    <x v="10"/>
  </r>
  <r>
    <s v="kraken:dogebtc"/>
    <n v="4.3000000000000001E-7"/>
    <x v="12"/>
    <x v="65"/>
  </r>
  <r>
    <s v="kraken:eosbtc"/>
    <n v="2.098E-4"/>
    <x v="12"/>
    <x v="11"/>
  </r>
  <r>
    <s v="kraken:eoseth"/>
    <n v="2.9039999999999999E-3"/>
    <x v="12"/>
    <x v="12"/>
  </r>
  <r>
    <s v="kraken:eoseur"/>
    <n v="1.0512999999999999"/>
    <x v="12"/>
    <x v="66"/>
  </r>
  <r>
    <s v="kraken:eosusd"/>
    <n v="1.2495000000000001"/>
    <x v="12"/>
    <x v="13"/>
  </r>
  <r>
    <s v="kraken:etcbtc"/>
    <n v="3.9789999999999999E-3"/>
    <x v="12"/>
    <x v="14"/>
  </r>
  <r>
    <s v="kraken:etceth"/>
    <n v="5.5227999999999999E-2"/>
    <x v="12"/>
    <x v="67"/>
  </r>
  <r>
    <s v="kraken:etceur"/>
    <n v="15.532"/>
    <x v="12"/>
    <x v="68"/>
  </r>
  <r>
    <s v="kraken:etcusd"/>
    <n v="18.600000000000001"/>
    <x v="12"/>
    <x v="15"/>
  </r>
  <r>
    <s v="kraken:ethbtc"/>
    <n v="7.2499999999999995E-2"/>
    <x v="12"/>
    <x v="16"/>
  </r>
  <r>
    <s v="kraken:ethcad"/>
    <n v="430"/>
    <x v="12"/>
    <x v="69"/>
  </r>
  <r>
    <s v="kraken:etheur"/>
    <n v="281.54000000000002"/>
    <x v="12"/>
    <x v="51"/>
  </r>
  <r>
    <s v="kraken:ethgbp"/>
    <n v="244.99791999999999"/>
    <x v="12"/>
    <x v="70"/>
  </r>
  <r>
    <s v="kraken:ethjpy"/>
    <n v="36425"/>
    <x v="12"/>
    <x v="71"/>
  </r>
  <r>
    <s v="kraken:ethusd"/>
    <n v="337.22"/>
    <x v="12"/>
    <x v="17"/>
  </r>
  <r>
    <s v="kraken:gnobtc"/>
    <n v="3.397E-2"/>
    <x v="12"/>
    <x v="72"/>
  </r>
  <r>
    <s v="kraken:gnoeth"/>
    <n v="0.46350000000000002"/>
    <x v="12"/>
    <x v="73"/>
  </r>
  <r>
    <s v="kraken:gnoeur"/>
    <n v="137.38220000000001"/>
    <x v="12"/>
    <x v="74"/>
  </r>
  <r>
    <s v="kraken:gnousd"/>
    <n v="150"/>
    <x v="12"/>
    <x v="75"/>
  </r>
  <r>
    <s v="kraken:icnbtc"/>
    <n v="4.7600000000000002E-4"/>
    <x v="12"/>
    <x v="76"/>
  </r>
  <r>
    <s v="kraken:icneth"/>
    <n v="6.5469999999999999E-3"/>
    <x v="12"/>
    <x v="77"/>
  </r>
  <r>
    <s v="kraken:ltcbtc"/>
    <n v="1.7458000000000001E-2"/>
    <x v="12"/>
    <x v="21"/>
  </r>
  <r>
    <s v="kraken:ltccad"/>
    <n v="4.8090799999999998"/>
    <x v="12"/>
    <x v="78"/>
  </r>
  <r>
    <s v="kraken:ltceur"/>
    <n v="67.89"/>
    <x v="12"/>
    <x v="53"/>
  </r>
  <r>
    <s v="kraken:ltcusd"/>
    <n v="81.5"/>
    <x v="12"/>
    <x v="22"/>
  </r>
  <r>
    <s v="kraken:mlnbtc"/>
    <n v="1.6386000000000001E-2"/>
    <x v="12"/>
    <x v="79"/>
  </r>
  <r>
    <s v="kraken:mlneth"/>
    <n v="0.2293"/>
    <x v="12"/>
    <x v="80"/>
  </r>
  <r>
    <s v="kraken:repbtc"/>
    <n v="4.9829999999999996E-3"/>
    <x v="12"/>
    <x v="81"/>
  </r>
  <r>
    <s v="kraken:repcad"/>
    <n v="5.3175600000000003"/>
    <x v="12"/>
    <x v="82"/>
  </r>
  <r>
    <s v="kraken:repeth"/>
    <n v="7.0459999999999995E-2"/>
    <x v="12"/>
    <x v="83"/>
  </r>
  <r>
    <s v="kraken:repeur"/>
    <n v="19.831"/>
    <x v="12"/>
    <x v="84"/>
  </r>
  <r>
    <s v="kraken:repjpy"/>
    <n v="350"/>
    <x v="12"/>
    <x v="85"/>
  </r>
  <r>
    <s v="kraken:repusd"/>
    <n v="20.534199999999998"/>
    <x v="12"/>
    <x v="86"/>
  </r>
  <r>
    <s v="kraken:strbtc"/>
    <n v="4.4399999999999998E-6"/>
    <x v="12"/>
    <x v="87"/>
  </r>
  <r>
    <s v="kraken:streur"/>
    <n v="1.4500000000000001E-2"/>
    <x v="12"/>
    <x v="88"/>
  </r>
  <r>
    <s v="kraken:strusd"/>
    <n v="1.7072E-2"/>
    <x v="12"/>
    <x v="89"/>
  </r>
  <r>
    <s v="kraken:usdtusd"/>
    <n v="1.0109999999999999"/>
    <x v="12"/>
    <x v="90"/>
  </r>
  <r>
    <s v="kraken:xmrbtc"/>
    <n v="2.5826000000000002E-2"/>
    <x v="12"/>
    <x v="29"/>
  </r>
  <r>
    <s v="kraken:xmreur"/>
    <n v="101.1"/>
    <x v="12"/>
    <x v="91"/>
  </r>
  <r>
    <s v="kraken:xmrusd"/>
    <n v="121"/>
    <x v="12"/>
    <x v="30"/>
  </r>
  <r>
    <s v="kraken:xrpbtc"/>
    <n v="4.9459999999999997E-5"/>
    <x v="12"/>
    <x v="31"/>
  </r>
  <r>
    <s v="kraken:xrpcad"/>
    <n v="0.23414299999999999"/>
    <x v="12"/>
    <x v="92"/>
  </r>
  <r>
    <s v="kraken:xrpeur"/>
    <n v="0.19258"/>
    <x v="12"/>
    <x v="54"/>
  </r>
  <r>
    <s v="kraken:xrpjpy"/>
    <n v="20.045100000000001"/>
    <x v="12"/>
    <x v="93"/>
  </r>
  <r>
    <s v="kraken:xrpusd"/>
    <n v="0.23086999999999999"/>
    <x v="12"/>
    <x v="32"/>
  </r>
  <r>
    <s v="kraken:zecbtc"/>
    <n v="5.3350000000000002E-2"/>
    <x v="12"/>
    <x v="33"/>
  </r>
  <r>
    <s v="kraken:zeccad"/>
    <n v="47.38758"/>
    <x v="12"/>
    <x v="94"/>
  </r>
  <r>
    <s v="kraken:zeceur"/>
    <n v="209.7"/>
    <x v="12"/>
    <x v="95"/>
  </r>
  <r>
    <s v="kraken:zecgbp"/>
    <n v="29.107279999999999"/>
    <x v="12"/>
    <x v="96"/>
  </r>
  <r>
    <s v="kraken:zecjpy"/>
    <n v="27455.94"/>
    <x v="12"/>
    <x v="97"/>
  </r>
  <r>
    <s v="kraken:zecusd"/>
    <n v="248.1"/>
    <x v="12"/>
    <x v="34"/>
  </r>
  <r>
    <s v="luno:btczar"/>
    <n v="65453"/>
    <x v="13"/>
    <x v="98"/>
  </r>
  <r>
    <s v="okcoin:btccny"/>
    <n v="28658"/>
    <x v="14"/>
    <x v="59"/>
  </r>
  <r>
    <s v="okcoin:btcusd"/>
    <n v="4709.83"/>
    <x v="14"/>
    <x v="8"/>
  </r>
  <r>
    <s v="okcoin:btcusd-biweekly-futures"/>
    <n v="4482.5600000000004"/>
    <x v="14"/>
    <x v="99"/>
  </r>
  <r>
    <s v="okcoin:btcusd-quarterly-futures"/>
    <n v="4490.2299999999996"/>
    <x v="14"/>
    <x v="100"/>
  </r>
  <r>
    <s v="okcoin:btcusd-weekly-futures"/>
    <n v="4483.55"/>
    <x v="14"/>
    <x v="101"/>
  </r>
  <r>
    <s v="okcoin:ltccny"/>
    <n v="501.1"/>
    <x v="14"/>
    <x v="60"/>
  </r>
  <r>
    <s v="okcoin:ltcusd"/>
    <n v="81.8"/>
    <x v="14"/>
    <x v="22"/>
  </r>
  <r>
    <s v="okcoin:ltcusd-biweekly-futures"/>
    <n v="77.197999999999993"/>
    <x v="14"/>
    <x v="102"/>
  </r>
  <r>
    <s v="okcoin:ltcusd-quarterly-futures"/>
    <n v="77.385999999999996"/>
    <x v="14"/>
    <x v="103"/>
  </r>
  <r>
    <s v="okcoin:ltcusd-weekly-futures"/>
    <n v="78.009"/>
    <x v="14"/>
    <x v="104"/>
  </r>
  <r>
    <s v="poloniex:bchbtc"/>
    <n v="0.14254364"/>
    <x v="15"/>
    <x v="2"/>
  </r>
  <r>
    <s v="poloniex:btcusd"/>
    <n v="4611.2304999999997"/>
    <x v="15"/>
    <x v="8"/>
  </r>
  <r>
    <s v="poloniex:btsbtc"/>
    <n v="3.3080000000000002E-5"/>
    <x v="15"/>
    <x v="105"/>
  </r>
  <r>
    <s v="poloniex:daobtc"/>
    <n v="0"/>
    <x v="15"/>
    <x v="106"/>
  </r>
  <r>
    <s v="poloniex:daoeth"/>
    <n v="0"/>
    <x v="15"/>
    <x v="107"/>
  </r>
  <r>
    <s v="poloniex:dashbtc"/>
    <n v="7.4422600000000005E-2"/>
    <x v="15"/>
    <x v="9"/>
  </r>
  <r>
    <s v="poloniex:dashusd"/>
    <n v="345.35845999999998"/>
    <x v="15"/>
    <x v="10"/>
  </r>
  <r>
    <s v="poloniex:dgbbtc"/>
    <n v="4.0300000000000004E-6"/>
    <x v="15"/>
    <x v="108"/>
  </r>
  <r>
    <s v="poloniex:etcbtc"/>
    <n v="3.9936700000000004E-3"/>
    <x v="15"/>
    <x v="14"/>
  </r>
  <r>
    <s v="poloniex:etceth"/>
    <n v="5.5100160000000002E-2"/>
    <x v="15"/>
    <x v="67"/>
  </r>
  <r>
    <s v="poloniex:etcusd"/>
    <n v="18.462"/>
    <x v="15"/>
    <x v="15"/>
  </r>
  <r>
    <s v="poloniex:ethbtc"/>
    <n v="7.2386880000000001E-2"/>
    <x v="15"/>
    <x v="16"/>
  </r>
  <r>
    <s v="poloniex:ethusd"/>
    <n v="333.8"/>
    <x v="15"/>
    <x v="17"/>
  </r>
  <r>
    <s v="poloniex:fctbtc"/>
    <n v="5.7263499999999998E-3"/>
    <x v="15"/>
    <x v="109"/>
  </r>
  <r>
    <s v="poloniex:gnobtc"/>
    <n v="3.3679279999999999E-2"/>
    <x v="15"/>
    <x v="72"/>
  </r>
  <r>
    <s v="poloniex:gnoeth"/>
    <n v="0.46608432999999999"/>
    <x v="15"/>
    <x v="73"/>
  </r>
  <r>
    <s v="poloniex:gntbtc"/>
    <n v="8.9389999999999996E-5"/>
    <x v="15"/>
    <x v="110"/>
  </r>
  <r>
    <s v="poloniex:lskbtc"/>
    <n v="1.59307E-3"/>
    <x v="15"/>
    <x v="111"/>
  </r>
  <r>
    <s v="poloniex:lsketh"/>
    <n v="2.2007140000000001E-2"/>
    <x v="15"/>
    <x v="112"/>
  </r>
  <r>
    <s v="poloniex:ltcbtc"/>
    <n v="1.7471270000000001E-2"/>
    <x v="15"/>
    <x v="21"/>
  </r>
  <r>
    <s v="poloniex:ltcusd"/>
    <n v="80.862849999999995"/>
    <x v="15"/>
    <x v="22"/>
  </r>
  <r>
    <s v="poloniex:ltcxmr"/>
    <n v="0.67195470000000002"/>
    <x v="15"/>
    <x v="113"/>
  </r>
  <r>
    <s v="poloniex:maidbtc"/>
    <n v="1.4719000000000001E-4"/>
    <x v="15"/>
    <x v="114"/>
  </r>
  <r>
    <s v="poloniex:navbtc"/>
    <n v="3.3262E-4"/>
    <x v="15"/>
    <x v="115"/>
  </r>
  <r>
    <s v="poloniex:nxtbtc"/>
    <n v="2.3439999999999999E-5"/>
    <x v="15"/>
    <x v="116"/>
  </r>
  <r>
    <s v="poloniex:nxtusd"/>
    <n v="0.10854585"/>
    <x v="15"/>
    <x v="117"/>
  </r>
  <r>
    <s v="poloniex:nxtxmr"/>
    <n v="9.1498999999999997E-4"/>
    <x v="15"/>
    <x v="118"/>
  </r>
  <r>
    <s v="poloniex:repbtc"/>
    <n v="5.0984300000000001E-3"/>
    <x v="15"/>
    <x v="81"/>
  </r>
  <r>
    <s v="poloniex:repeth"/>
    <n v="6.9500019999999996E-2"/>
    <x v="15"/>
    <x v="83"/>
  </r>
  <r>
    <s v="poloniex:repusd"/>
    <n v="23.306854000000001"/>
    <x v="15"/>
    <x v="86"/>
  </r>
  <r>
    <s v="poloniex:sdcbtc"/>
    <n v="3.2948999999999999E-4"/>
    <x v="15"/>
    <x v="119"/>
  </r>
  <r>
    <s v="poloniex:stratbtc"/>
    <n v="1.3270999999999999E-3"/>
    <x v="15"/>
    <x v="120"/>
  </r>
  <r>
    <s v="poloniex:strbtc"/>
    <n v="4.42E-6"/>
    <x v="15"/>
    <x v="87"/>
  </r>
  <r>
    <s v="poloniex:strusd"/>
    <n v="2.014612E-2"/>
    <x v="15"/>
    <x v="89"/>
  </r>
  <r>
    <s v="poloniex:xmrbtc"/>
    <n v="2.5872869999999999E-2"/>
    <x v="15"/>
    <x v="29"/>
  </r>
  <r>
    <s v="poloniex:xmrusd"/>
    <n v="119.861"/>
    <x v="15"/>
    <x v="30"/>
  </r>
  <r>
    <s v="poloniex:xrpbtc"/>
    <n v="4.935E-5"/>
    <x v="15"/>
    <x v="31"/>
  </r>
  <r>
    <s v="poloniex:xrpusd"/>
    <n v="0.22785448999999999"/>
    <x v="15"/>
    <x v="32"/>
  </r>
  <r>
    <s v="poloniex:zecbtc"/>
    <n v="5.3139720000000001E-2"/>
    <x v="15"/>
    <x v="33"/>
  </r>
  <r>
    <s v="poloniex:zeceth"/>
    <n v="0.73460080000000005"/>
    <x v="15"/>
    <x v="121"/>
  </r>
  <r>
    <s v="poloniex:zecusd"/>
    <n v="245.09868"/>
    <x v="15"/>
    <x v="34"/>
  </r>
  <r>
    <s v="poloniex:zecxmr"/>
    <n v="2.0499953999999998"/>
    <x v="15"/>
    <x v="122"/>
  </r>
  <r>
    <s v="qryptos:etcbtc"/>
    <n v="5.0000000000000001E-3"/>
    <x v="16"/>
    <x v="14"/>
  </r>
  <r>
    <s v="qryptos:ethbtc"/>
    <n v="6.9330000000000003E-2"/>
    <x v="16"/>
    <x v="16"/>
  </r>
  <r>
    <s v="qryptos:ltcbtc"/>
    <n v="1.7399999999999999E-2"/>
    <x v="16"/>
    <x v="21"/>
  </r>
  <r>
    <s v="qryptos:repbtc"/>
    <n v="0"/>
    <x v="16"/>
    <x v="81"/>
  </r>
  <r>
    <s v="qryptos:xmrbtc"/>
    <n v="2.4060000000000002E-2"/>
    <x v="16"/>
    <x v="29"/>
  </r>
  <r>
    <s v="qryptos:xrpbtc"/>
    <n v="3.0000000000000001E-5"/>
    <x v="16"/>
    <x v="31"/>
  </r>
  <r>
    <s v="qryptos:zecbtc"/>
    <n v="2.5999999999999999E-3"/>
    <x v="16"/>
    <x v="33"/>
  </r>
  <r>
    <s v="quoine:bchjpy"/>
    <n v="71000"/>
    <x v="17"/>
    <x v="123"/>
  </r>
  <r>
    <s v="quoine:bchsgd"/>
    <n v="501"/>
    <x v="17"/>
    <x v="124"/>
  </r>
  <r>
    <s v="quoine:bchusd"/>
    <n v="675"/>
    <x v="17"/>
    <x v="4"/>
  </r>
  <r>
    <s v="quoine:btcaud"/>
    <n v="5758.4696999999996"/>
    <x v="17"/>
    <x v="49"/>
  </r>
  <r>
    <s v="quoine:btccny"/>
    <n v="30000"/>
    <x v="17"/>
    <x v="59"/>
  </r>
  <r>
    <s v="quoine:btceur"/>
    <n v="3857.4353000000001"/>
    <x v="17"/>
    <x v="50"/>
  </r>
  <r>
    <s v="quoine:btchkd"/>
    <n v="36085.25"/>
    <x v="17"/>
    <x v="125"/>
  </r>
  <r>
    <s v="quoine:btcidr"/>
    <n v="61542960"/>
    <x v="17"/>
    <x v="126"/>
  </r>
  <r>
    <s v="quoine:btcinr"/>
    <n v="281000"/>
    <x v="17"/>
    <x v="127"/>
  </r>
  <r>
    <s v="quoine:btcjpy"/>
    <n v="502555.72"/>
    <x v="17"/>
    <x v="36"/>
  </r>
  <r>
    <s v="quoine:btcphp"/>
    <n v="234460.53"/>
    <x v="17"/>
    <x v="128"/>
  </r>
  <r>
    <s v="quoine:btcsgd"/>
    <n v="6209.973"/>
    <x v="17"/>
    <x v="129"/>
  </r>
  <r>
    <s v="quoine:btcusd"/>
    <n v="4633.0770000000002"/>
    <x v="17"/>
    <x v="8"/>
  </r>
  <r>
    <s v="quoine:ethaud"/>
    <n v="409.71848"/>
    <x v="17"/>
    <x v="130"/>
  </r>
  <r>
    <s v="quoine:ethbtc"/>
    <n v="7.9000000000000001E-2"/>
    <x v="17"/>
    <x v="16"/>
  </r>
  <r>
    <s v="quoine:ethcny"/>
    <n v="0"/>
    <x v="17"/>
    <x v="131"/>
  </r>
  <r>
    <s v="quoine:etheur"/>
    <n v="221.49857"/>
    <x v="17"/>
    <x v="51"/>
  </r>
  <r>
    <s v="quoine:ethhkd"/>
    <n v="0"/>
    <x v="17"/>
    <x v="132"/>
  </r>
  <r>
    <s v="quoine:ethidr"/>
    <n v="142957.22"/>
    <x v="17"/>
    <x v="133"/>
  </r>
  <r>
    <s v="quoine:ethinr"/>
    <n v="0"/>
    <x v="17"/>
    <x v="134"/>
  </r>
  <r>
    <s v="quoine:ethjpy"/>
    <n v="36930.061999999998"/>
    <x v="17"/>
    <x v="71"/>
  </r>
  <r>
    <s v="quoine:ethphp"/>
    <n v="620"/>
    <x v="17"/>
    <x v="135"/>
  </r>
  <r>
    <s v="quoine:ethsgd"/>
    <n v="453.12765999999999"/>
    <x v="17"/>
    <x v="136"/>
  </r>
  <r>
    <s v="quoine:ethusd"/>
    <n v="333.00002999999998"/>
    <x v="17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OLONIEX" cacheId="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showHeaders="0" outline="1" outlineData="1" multipleFieldFilters="0">
  <location ref="I4:J46" firstHeaderRow="1" firstDataRow="1" firstDataCol="1" rowPageCount="1" colPageCount="1"/>
  <pivotFields count="4">
    <pivotField showAll="0"/>
    <pivotField dataField="1" showAll="0"/>
    <pivotField axis="axisPage" subtotalTop="0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8"/>
      </items>
    </pivotField>
    <pivotField axis="axisRow" subtotalTop="0" showAll="0" defaultSubtotal="0">
      <items count="138">
        <item x="0"/>
        <item x="1"/>
        <item x="2"/>
        <item x="3"/>
        <item x="62"/>
        <item x="123"/>
        <item x="39"/>
        <item x="124"/>
        <item x="4"/>
        <item x="5"/>
        <item x="6"/>
        <item x="7"/>
        <item x="49"/>
        <item x="63"/>
        <item x="59"/>
        <item x="55"/>
        <item x="56"/>
        <item x="50"/>
        <item x="35"/>
        <item x="61"/>
        <item x="125"/>
        <item x="126"/>
        <item x="127"/>
        <item x="36"/>
        <item x="37"/>
        <item x="38"/>
        <item x="40"/>
        <item x="128"/>
        <item x="129"/>
        <item x="8"/>
        <item x="99"/>
        <item x="100"/>
        <item x="101"/>
        <item x="98"/>
        <item x="105"/>
        <item x="106"/>
        <item x="107"/>
        <item x="9"/>
        <item x="64"/>
        <item x="41"/>
        <item x="10"/>
        <item x="108"/>
        <item x="65"/>
        <item x="11"/>
        <item x="12"/>
        <item x="66"/>
        <item x="13"/>
        <item x="14"/>
        <item x="67"/>
        <item x="68"/>
        <item x="42"/>
        <item x="15"/>
        <item x="130"/>
        <item x="16"/>
        <item x="69"/>
        <item x="131"/>
        <item x="51"/>
        <item x="70"/>
        <item x="132"/>
        <item x="133"/>
        <item x="134"/>
        <item x="71"/>
        <item x="43"/>
        <item x="135"/>
        <item x="136"/>
        <item x="17"/>
        <item x="52"/>
        <item x="109"/>
        <item x="72"/>
        <item x="73"/>
        <item x="74"/>
        <item x="75"/>
        <item x="110"/>
        <item x="76"/>
        <item x="77"/>
        <item x="18"/>
        <item x="19"/>
        <item x="20"/>
        <item x="111"/>
        <item x="112"/>
        <item x="21"/>
        <item x="78"/>
        <item x="60"/>
        <item x="57"/>
        <item x="58"/>
        <item x="53"/>
        <item x="44"/>
        <item x="22"/>
        <item x="102"/>
        <item x="103"/>
        <item x="104"/>
        <item x="113"/>
        <item x="114"/>
        <item x="79"/>
        <item x="80"/>
        <item x="115"/>
        <item x="116"/>
        <item x="117"/>
        <item x="118"/>
        <item x="26"/>
        <item x="27"/>
        <item x="28"/>
        <item x="81"/>
        <item x="82"/>
        <item x="83"/>
        <item x="84"/>
        <item x="85"/>
        <item x="86"/>
        <item x="119"/>
        <item x="120"/>
        <item x="87"/>
        <item x="88"/>
        <item x="89"/>
        <item x="90"/>
        <item x="47"/>
        <item x="48"/>
        <item x="29"/>
        <item x="91"/>
        <item x="45"/>
        <item x="30"/>
        <item x="31"/>
        <item x="92"/>
        <item x="54"/>
        <item x="93"/>
        <item x="46"/>
        <item x="32"/>
        <item x="33"/>
        <item x="94"/>
        <item x="121"/>
        <item x="95"/>
        <item x="96"/>
        <item x="97"/>
        <item x="34"/>
        <item x="122"/>
        <item m="1" x="137"/>
        <item x="23"/>
        <item x="24"/>
        <item x="25"/>
      </items>
    </pivotField>
  </pivotFields>
  <rowFields count="1">
    <field x="3"/>
  </rowFields>
  <rowItems count="42">
    <i>
      <x v="2"/>
    </i>
    <i>
      <x v="29"/>
    </i>
    <i>
      <x v="34"/>
    </i>
    <i>
      <x v="35"/>
    </i>
    <i>
      <x v="36"/>
    </i>
    <i>
      <x v="37"/>
    </i>
    <i>
      <x v="40"/>
    </i>
    <i>
      <x v="41"/>
    </i>
    <i>
      <x v="47"/>
    </i>
    <i>
      <x v="48"/>
    </i>
    <i>
      <x v="51"/>
    </i>
    <i>
      <x v="53"/>
    </i>
    <i>
      <x v="65"/>
    </i>
    <i>
      <x v="67"/>
    </i>
    <i>
      <x v="68"/>
    </i>
    <i>
      <x v="69"/>
    </i>
    <i>
      <x v="72"/>
    </i>
    <i>
      <x v="78"/>
    </i>
    <i>
      <x v="79"/>
    </i>
    <i>
      <x v="80"/>
    </i>
    <i>
      <x v="87"/>
    </i>
    <i>
      <x v="91"/>
    </i>
    <i>
      <x v="92"/>
    </i>
    <i>
      <x v="95"/>
    </i>
    <i>
      <x v="96"/>
    </i>
    <i>
      <x v="97"/>
    </i>
    <i>
      <x v="98"/>
    </i>
    <i>
      <x v="102"/>
    </i>
    <i>
      <x v="104"/>
    </i>
    <i>
      <x v="107"/>
    </i>
    <i>
      <x v="108"/>
    </i>
    <i>
      <x v="109"/>
    </i>
    <i>
      <x v="110"/>
    </i>
    <i>
      <x v="112"/>
    </i>
    <i>
      <x v="116"/>
    </i>
    <i>
      <x v="119"/>
    </i>
    <i>
      <x v="120"/>
    </i>
    <i>
      <x v="125"/>
    </i>
    <i>
      <x v="126"/>
    </i>
    <i>
      <x v="128"/>
    </i>
    <i>
      <x v="132"/>
    </i>
    <i>
      <x v="133"/>
    </i>
  </rowItems>
  <colItems count="1">
    <i/>
  </colItems>
  <pageFields count="1">
    <pageField fld="2" item="15" hier="-1"/>
  </pageFields>
  <dataFields count="1">
    <dataField name="Sum of Value" fld="1" baseField="0" baseItem="0"/>
  </dataFields>
  <pivotTableStyleInfo name="PivotStyleLight2" showRowHeaders="0" showColHeaders="0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BITFINEX" cacheId="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showHeaders="0" outline="1" outlineData="1" multipleFieldFilters="0">
  <location ref="F4:G39" firstHeaderRow="1" firstDataRow="1" firstDataCol="1" rowPageCount="1" colPageCount="1"/>
  <pivotFields count="4">
    <pivotField showAll="0"/>
    <pivotField dataField="1" showAll="0"/>
    <pivotField axis="axisPage" subtotalTop="0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8"/>
      </items>
    </pivotField>
    <pivotField axis="axisRow" subtotalTop="0" showAll="0" defaultSubtotal="0">
      <items count="138">
        <item x="0"/>
        <item x="1"/>
        <item x="2"/>
        <item x="3"/>
        <item x="62"/>
        <item x="123"/>
        <item x="39"/>
        <item x="124"/>
        <item x="4"/>
        <item x="5"/>
        <item x="6"/>
        <item x="7"/>
        <item x="49"/>
        <item x="63"/>
        <item x="59"/>
        <item x="55"/>
        <item x="56"/>
        <item x="50"/>
        <item x="35"/>
        <item x="61"/>
        <item x="125"/>
        <item x="126"/>
        <item x="127"/>
        <item x="36"/>
        <item x="37"/>
        <item x="38"/>
        <item x="40"/>
        <item x="128"/>
        <item x="129"/>
        <item x="8"/>
        <item x="99"/>
        <item x="100"/>
        <item x="101"/>
        <item x="98"/>
        <item x="105"/>
        <item x="106"/>
        <item x="107"/>
        <item x="9"/>
        <item x="64"/>
        <item x="41"/>
        <item x="10"/>
        <item x="108"/>
        <item x="65"/>
        <item x="11"/>
        <item x="12"/>
        <item x="66"/>
        <item x="13"/>
        <item x="14"/>
        <item x="67"/>
        <item x="68"/>
        <item x="42"/>
        <item x="15"/>
        <item x="130"/>
        <item x="16"/>
        <item x="69"/>
        <item x="131"/>
        <item x="51"/>
        <item x="70"/>
        <item x="132"/>
        <item x="133"/>
        <item x="134"/>
        <item x="71"/>
        <item x="43"/>
        <item x="135"/>
        <item x="136"/>
        <item x="17"/>
        <item x="52"/>
        <item x="109"/>
        <item x="72"/>
        <item x="73"/>
        <item x="74"/>
        <item x="75"/>
        <item x="110"/>
        <item x="76"/>
        <item x="77"/>
        <item x="18"/>
        <item x="19"/>
        <item x="20"/>
        <item x="111"/>
        <item x="112"/>
        <item x="21"/>
        <item x="78"/>
        <item x="60"/>
        <item x="57"/>
        <item x="58"/>
        <item x="53"/>
        <item x="44"/>
        <item x="22"/>
        <item x="102"/>
        <item x="103"/>
        <item x="104"/>
        <item x="113"/>
        <item x="114"/>
        <item x="79"/>
        <item x="80"/>
        <item x="115"/>
        <item x="116"/>
        <item x="117"/>
        <item x="118"/>
        <item x="26"/>
        <item x="27"/>
        <item x="28"/>
        <item x="81"/>
        <item x="82"/>
        <item x="83"/>
        <item x="84"/>
        <item x="85"/>
        <item x="86"/>
        <item x="119"/>
        <item x="120"/>
        <item x="87"/>
        <item x="88"/>
        <item x="89"/>
        <item x="90"/>
        <item x="47"/>
        <item x="48"/>
        <item x="29"/>
        <item x="91"/>
        <item x="45"/>
        <item x="30"/>
        <item x="31"/>
        <item x="92"/>
        <item x="54"/>
        <item x="93"/>
        <item x="46"/>
        <item x="32"/>
        <item x="33"/>
        <item x="94"/>
        <item x="121"/>
        <item x="95"/>
        <item x="96"/>
        <item x="97"/>
        <item x="34"/>
        <item x="122"/>
        <item m="1" x="137"/>
        <item x="23"/>
        <item x="24"/>
        <item x="25"/>
      </items>
    </pivotField>
  </pivotFields>
  <rowFields count="1">
    <field x="3"/>
  </rowFields>
  <rowItems count="35">
    <i>
      <x/>
    </i>
    <i>
      <x v="1"/>
    </i>
    <i>
      <x v="2"/>
    </i>
    <i>
      <x v="3"/>
    </i>
    <i>
      <x v="8"/>
    </i>
    <i>
      <x v="9"/>
    </i>
    <i>
      <x v="10"/>
    </i>
    <i>
      <x v="11"/>
    </i>
    <i>
      <x v="29"/>
    </i>
    <i>
      <x v="37"/>
    </i>
    <i>
      <x v="40"/>
    </i>
    <i>
      <x v="43"/>
    </i>
    <i>
      <x v="44"/>
    </i>
    <i>
      <x v="46"/>
    </i>
    <i>
      <x v="47"/>
    </i>
    <i>
      <x v="51"/>
    </i>
    <i>
      <x v="53"/>
    </i>
    <i>
      <x v="65"/>
    </i>
    <i>
      <x v="75"/>
    </i>
    <i>
      <x v="76"/>
    </i>
    <i>
      <x v="77"/>
    </i>
    <i>
      <x v="80"/>
    </i>
    <i>
      <x v="87"/>
    </i>
    <i>
      <x v="99"/>
    </i>
    <i>
      <x v="100"/>
    </i>
    <i>
      <x v="101"/>
    </i>
    <i>
      <x v="116"/>
    </i>
    <i>
      <x v="119"/>
    </i>
    <i>
      <x v="120"/>
    </i>
    <i>
      <x v="125"/>
    </i>
    <i>
      <x v="126"/>
    </i>
    <i>
      <x v="132"/>
    </i>
    <i>
      <x v="135"/>
    </i>
    <i>
      <x v="136"/>
    </i>
    <i>
      <x v="137"/>
    </i>
  </rowItems>
  <colItems count="1">
    <i/>
  </colItems>
  <pageFields count="1">
    <pageField fld="2" item="0" hier="-1"/>
  </pageFields>
  <dataFields count="1">
    <dataField name="Sum of Value" fld="1" baseField="0" baseItem="0"/>
  </dataFields>
  <pivotTableStyleInfo name="PivotStyleLight2" showRowHeaders="0" showColHeaders="0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ExternalData_1" connectionId="4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3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name="ExternalData_1" connectionId="3" autoFormatId="16" applyNumberFormats="0" applyBorderFormats="0" applyFontFormats="0" applyPatternFormats="0" applyAlignmentFormats="0" applyWidthHeightFormats="0">
  <queryTableRefresh nextId="7" unboundColumnsRight="2">
    <queryTableFields count="4">
      <queryTableField id="1" name="Name" tableColumnId="3"/>
      <queryTableField id="2" name="Value" tableColumnId="2"/>
      <queryTableField id="5" dataBound="0" tableColumnId="5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23" unboundColumnsRight="3">
    <queryTableFields count="9">
      <queryTableField id="16" name="Name" tableColumnId="14"/>
      <queryTableField id="3" name="Value.primary_currency" tableColumnId="3"/>
      <queryTableField id="4" name="Value.secondary_currency" tableColumnId="4"/>
      <queryTableField id="5" name="Value.change" tableColumnId="5"/>
      <queryTableField id="6" name="Value.last_price" tableColumnId="6"/>
      <queryTableField id="18" name="Value.volume_24hours" tableColumnId="16"/>
      <queryTableField id="9" dataBound="0" tableColumnId="1"/>
      <queryTableField id="22" dataBound="0" tableColumnId="18"/>
      <queryTableField id="10" dataBound="0" tableColumnId="10"/>
    </queryTableFields>
    <queryTableDeletedFields count="7">
      <deletedField name="Name"/>
      <deletedField name="Value.pairing_id"/>
      <deletedField name="Value.orderbook"/>
      <deletedField name="Value.volume_24hours"/>
      <deletedField name="Value.orderbook"/>
      <deletedField name="Name"/>
      <deletedField name="Value.pairing_id"/>
    </queryTableDeletedFields>
  </queryTableRefresh>
</queryTable>
</file>

<file path=xl/queryTables/queryTable4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7" unboundColumnsRight="3">
    <queryTableFields count="16">
      <queryTableField id="1" name="Column1.MarketName" tableColumnId="14"/>
      <queryTableField id="2" name="Column1.High" tableColumnId="2"/>
      <queryTableField id="3" name="Column1.Low" tableColumnId="3"/>
      <queryTableField id="4" name="Column1.Volume" tableColumnId="4"/>
      <queryTableField id="5" name="Column1.Last" tableColumnId="5"/>
      <queryTableField id="6" name="Column1.BaseVolume" tableColumnId="6"/>
      <queryTableField id="7" name="Column1.TimeStamp" tableColumnId="7"/>
      <queryTableField id="8" name="Column1.Bid" tableColumnId="8"/>
      <queryTableField id="9" name="Column1.Ask" tableColumnId="9"/>
      <queryTableField id="10" name="Column1.OpenBuyOrders" tableColumnId="10"/>
      <queryTableField id="11" name="Column1.OpenSellOrders" tableColumnId="11"/>
      <queryTableField id="12" name="Column1.PrevDay" tableColumnId="12"/>
      <queryTableField id="13" name="Column1.Created" tableColumnId="13"/>
      <queryTableField id="14" dataBound="0" tableColumnId="15"/>
      <queryTableField id="15" dataBound="0" tableColumnId="16"/>
      <queryTableField id="16" dataBound="0" tableColumnId="17"/>
    </queryTableFields>
  </queryTableRefresh>
</queryTable>
</file>

<file path=xl/queryTables/queryTable5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11" unboundColumnsRight="2">
    <queryTableFields count="9">
      <queryTableField id="1" name="Name" tableColumnId="8"/>
      <queryTableField id="2" name="Value.code" tableColumnId="2"/>
      <queryTableField id="3" name="Value.alphaCode" tableColumnId="3"/>
      <queryTableField id="4" name="Value.numericCode" tableColumnId="4"/>
      <queryTableField id="5" name="Value.name" tableColumnId="5"/>
      <queryTableField id="6" name="Value.rate" tableColumnId="6"/>
      <queryTableField id="7" name="Value.date" tableColumnId="7"/>
      <queryTableField id="8" dataBound="0" tableColumnId="1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2" name="cryptowat_apilimit" displayName="cryptowat_apilimit" ref="H17:I19" tableType="queryTable" totalsRowShown="0">
  <autoFilter ref="H17:I19"/>
  <tableColumns count="2">
    <tableColumn id="3" uniqueName="3" name="Name" queryTableFieldId="1" dataDxfId="23"/>
    <tableColumn id="2" uniqueName="2" name="Value" queryTableFieldId="2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CRYPTOWAT" displayName="CRYPTOWAT" ref="A1:D244" tableType="queryTable" totalsRowCount="1">
  <autoFilter ref="A1:D243"/>
  <tableColumns count="4">
    <tableColumn id="3" uniqueName="3" name="Name" queryTableFieldId="1"/>
    <tableColumn id="2" uniqueName="2" name="Value" queryTableFieldId="2" dataDxfId="21" totalsRowDxfId="20"/>
    <tableColumn id="5" uniqueName="5" name="Source" queryTableFieldId="5" dataDxfId="19">
      <calculatedColumnFormula>MID(CRYPTOWAT[[#This Row],[Name]],1,FIND(":",A2,1)-1)</calculatedColumnFormula>
    </tableColumn>
    <tableColumn id="6" uniqueName="6" name="Ticker" queryTableFieldId="6" dataDxfId="18">
      <calculatedColumnFormula>MID(CRYPTOWAT[[#This Row],[Name]],FIND(":",A2,1)+1,100)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BXTABLE" displayName="BXTABLE" ref="A1:I21" tableType="queryTable" totalsRowShown="0">
  <autoFilter ref="A1:I21"/>
  <tableColumns count="9">
    <tableColumn id="14" uniqueName="14" name="Name" queryTableFieldId="16" dataDxfId="17"/>
    <tableColumn id="3" uniqueName="3" name="Value.primary_currency" queryTableFieldId="3" dataDxfId="16"/>
    <tableColumn id="4" uniqueName="4" name="Value.secondary_currency" queryTableFieldId="4" dataDxfId="15"/>
    <tableColumn id="5" uniqueName="5" name="Value.change" queryTableFieldId="5" dataDxfId="14"/>
    <tableColumn id="6" uniqueName="6" name="Value.last_price" queryTableFieldId="6" dataDxfId="13"/>
    <tableColumn id="16" uniqueName="16" name="Value.volume_24hours" queryTableFieldId="18"/>
    <tableColumn id="1" uniqueName="1" name="FullTicker" queryTableFieldId="9" dataDxfId="12">
      <calculatedColumnFormula>LOWER(CONCATENATE("bxinth:",$C2,$B2))</calculatedColumnFormula>
    </tableColumn>
    <tableColumn id="18" uniqueName="18" name="Ticker" queryTableFieldId="22" dataDxfId="11">
      <calculatedColumnFormula>LOWER(CONCATENATE($C2,$B2))</calculatedColumnFormula>
    </tableColumn>
    <tableColumn id="10" uniqueName="10" name="Rate" queryTableFieldId="10" dataDxfId="10">
      <calculatedColumnFormula>$E2</calculatedColumnFormula>
    </tableColumn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="BXRATES"/>
    </ext>
  </extLst>
</table>
</file>

<file path=xl/tables/table4.xml><?xml version="1.0" encoding="utf-8"?>
<table xmlns="http://schemas.openxmlformats.org/spreadsheetml/2006/main" id="4" name="bittrex" displayName="bittrex" ref="A1:P260" tableType="queryTable" totalsRowShown="0">
  <autoFilter ref="A1:P260"/>
  <tableColumns count="16">
    <tableColumn id="14" uniqueName="14" name="Column1.MarketName" queryTableFieldId="1"/>
    <tableColumn id="2" uniqueName="2" name="Column1.High" queryTableFieldId="2"/>
    <tableColumn id="3" uniqueName="3" name="Column1.Low" queryTableFieldId="3"/>
    <tableColumn id="4" uniqueName="4" name="Column1.Volume" queryTableFieldId="4"/>
    <tableColumn id="5" uniqueName="5" name="Column1.Last" queryTableFieldId="5"/>
    <tableColumn id="6" uniqueName="6" name="Column1.BaseVolume" queryTableFieldId="6"/>
    <tableColumn id="7" uniqueName="7" name="Column1.TimeStamp" queryTableFieldId="7"/>
    <tableColumn id="8" uniqueName="8" name="Column1.Bid" queryTableFieldId="8"/>
    <tableColumn id="9" uniqueName="9" name="Column1.Ask" queryTableFieldId="9"/>
    <tableColumn id="10" uniqueName="10" name="Column1.OpenBuyOrders" queryTableFieldId="10"/>
    <tableColumn id="11" uniqueName="11" name="Column1.OpenSellOrders" queryTableFieldId="11"/>
    <tableColumn id="12" uniqueName="12" name="Column1.PrevDay" queryTableFieldId="12"/>
    <tableColumn id="13" uniqueName="13" name="Column1.Created" queryTableFieldId="13"/>
    <tableColumn id="15" uniqueName="15" name="FullTicker" queryTableFieldId="14" dataDxfId="9">
      <calculatedColumnFormula>LOWER(CONCATENATE("bittrex:",SUBSTITUTE(bittrex[[#This Row],[Column1.MarketName]],"-","")))</calculatedColumnFormula>
    </tableColumn>
    <tableColumn id="16" uniqueName="16" name="Ticker" queryTableFieldId="15" dataDxfId="8">
      <calculatedColumnFormula>LOWER(CONCATENATE(SUBSTITUTE(bittrex[[#This Row],[Column1.MarketName]],"-","")))</calculatedColumnFormula>
    </tableColumn>
    <tableColumn id="17" uniqueName="17" name="Rate" queryTableFieldId="16" dataDxfId="7">
      <calculatedColumnFormula>bittrex[[#This Row],[Column1.Last]]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6" name="Table6" displayName="Table6" ref="A1:B33" totalsRowShown="0">
  <autoFilter ref="A1:B33"/>
  <tableColumns count="2">
    <tableColumn id="1" name="Ticker">
      <calculatedColumnFormula>'REF-CryptoWat'!F5</calculatedColumnFormula>
    </tableColumn>
    <tableColumn id="2" name="Rate">
      <calculatedColumnFormula>'REF-CryptoWat'!G5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A1:B43" totalsRowShown="0">
  <autoFilter ref="A1:B43"/>
  <tableColumns count="2">
    <tableColumn id="1" name="Ticker" dataDxfId="6"/>
    <tableColumn id="2" name="Rate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able10" displayName="Table10" ref="A1:B1048576" totalsRowShown="0">
  <autoFilter ref="A1:B1048576"/>
  <tableColumns count="2">
    <tableColumn id="1" name="Ticker"/>
    <tableColumn id="2" name="R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able11" displayName="Table11" ref="A1:B21" totalsRowShown="0">
  <autoFilter ref="A1:B21"/>
  <tableColumns count="2">
    <tableColumn id="1" name="Ticker">
      <calculatedColumnFormula>'REF-BX.in.th'!H2</calculatedColumnFormula>
    </tableColumn>
    <tableColumn id="2" name="Rate">
      <calculatedColumnFormula>'REF-BX.in.th'!I2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FloatRates" displayName="FloatRates" ref="A1:I81" tableType="queryTable" totalsRowShown="0">
  <autoFilter ref="A1:I81"/>
  <tableColumns count="9">
    <tableColumn id="8" uniqueName="8" name="Name" queryTableFieldId="1" dataDxfId="4"/>
    <tableColumn id="2" uniqueName="2" name="Value.code" queryTableFieldId="2"/>
    <tableColumn id="3" uniqueName="3" name="Value.alphaCode" queryTableFieldId="3"/>
    <tableColumn id="4" uniqueName="4" name="Value.numericCode" queryTableFieldId="4"/>
    <tableColumn id="5" uniqueName="5" name="Value.name" queryTableFieldId="5"/>
    <tableColumn id="6" uniqueName="6" name="Value.rate" queryTableFieldId="6"/>
    <tableColumn id="7" uniqueName="7" name="Value.date" queryTableFieldId="7"/>
    <tableColumn id="1" uniqueName="1" name="Fiat" queryTableFieldId="8" dataDxfId="3">
      <calculatedColumnFormula>LOWER(CONCATENATE(FloatRates[[#This Row],[Value.code]],SUBSTITUTE(SUBSTITUTE(YOURCURRENCY,"http://www.floatrates.com/daily/",""),".json","")))</calculatedColumnFormula>
    </tableColumn>
    <tableColumn id="9" uniqueName="9" name="Invert" queryTableFieldId="9" dataDxfId="2">
      <calculatedColumnFormula>1/FloatRates[[#This Row],[Value.rate]]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5" name="FloatRatesAPI" displayName="FloatRatesAPI" ref="K1:K2" totalsRowShown="0" headerRowDxfId="1" tableBorderDxfId="0" dataCellStyle="Hyperlink">
  <autoFilter ref="K1:K2"/>
  <tableColumns count="1">
    <tableColumn id="1" name="FloatRates.com API" dataCellStyle="Hyperlink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vorapoap/auto-cryptocurrency-exce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floatrates.com/daily/THB.json" TargetMode="External"/><Relationship Id="rId1" Type="http://schemas.openxmlformats.org/officeDocument/2006/relationships/hyperlink" Target="http://www.floatrates.com/json-feeds.html" TargetMode="Externa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2:J21"/>
  <sheetViews>
    <sheetView tabSelected="1" workbookViewId="0">
      <selection activeCell="B19" sqref="B19"/>
    </sheetView>
  </sheetViews>
  <sheetFormatPr defaultRowHeight="13.8"/>
  <cols>
    <col min="2" max="2" width="70.296875" customWidth="1"/>
    <col min="3" max="9" width="0" hidden="1" customWidth="1"/>
    <col min="10" max="10" width="61.296875" customWidth="1"/>
    <col min="11" max="11" width="10.8984375" bestFit="1" customWidth="1"/>
    <col min="12" max="12" width="9.5" customWidth="1"/>
    <col min="13" max="13" width="15.796875" customWidth="1"/>
  </cols>
  <sheetData>
    <row r="2" spans="1:10">
      <c r="A2" s="11" t="s">
        <v>104</v>
      </c>
    </row>
    <row r="3" spans="1:10" ht="14.4" thickBot="1"/>
    <row r="4" spans="1:10" ht="15" thickBot="1">
      <c r="A4" s="8" t="s">
        <v>9</v>
      </c>
      <c r="B4" s="3"/>
      <c r="C4" s="3"/>
      <c r="D4" s="3"/>
      <c r="E4" s="3"/>
      <c r="F4" s="3"/>
    </row>
    <row r="5" spans="1:10" ht="14.4" thickBot="1">
      <c r="A5" s="4"/>
      <c r="B5" s="3"/>
      <c r="C5" s="3"/>
      <c r="D5" s="3"/>
      <c r="E5" s="3"/>
      <c r="F5" s="3"/>
    </row>
    <row r="6" spans="1:10" ht="15" thickBot="1">
      <c r="A6" s="9" t="s">
        <v>0</v>
      </c>
      <c r="B6" s="2"/>
      <c r="C6" s="2"/>
      <c r="D6" s="2"/>
      <c r="E6" s="2"/>
      <c r="F6" s="2"/>
      <c r="G6" s="2"/>
      <c r="H6" s="2"/>
    </row>
    <row r="7" spans="1:10" ht="15" thickBot="1">
      <c r="A7" s="9" t="s">
        <v>1</v>
      </c>
      <c r="B7" s="2"/>
      <c r="C7" s="2"/>
      <c r="D7" s="2"/>
      <c r="E7" s="2"/>
      <c r="F7" s="2"/>
      <c r="G7" s="2"/>
      <c r="H7" s="2"/>
    </row>
    <row r="8" spans="1:10" ht="15" thickBot="1">
      <c r="A8" s="9" t="s">
        <v>2</v>
      </c>
      <c r="B8" s="2"/>
      <c r="C8" s="2"/>
      <c r="D8" s="2"/>
      <c r="E8" s="2"/>
      <c r="F8" s="2"/>
      <c r="G8" s="2"/>
      <c r="H8" s="2"/>
    </row>
    <row r="9" spans="1:10" ht="14.4" thickBot="1">
      <c r="A9" s="10"/>
      <c r="B9" s="2"/>
      <c r="C9" s="2"/>
      <c r="D9" s="2"/>
      <c r="E9" s="2"/>
      <c r="F9" s="2"/>
      <c r="G9" s="2"/>
      <c r="H9" s="2"/>
    </row>
    <row r="10" spans="1:10" ht="15" thickBot="1">
      <c r="A10" s="9" t="s">
        <v>3</v>
      </c>
      <c r="B10" s="2"/>
      <c r="C10" s="2"/>
      <c r="D10" s="2"/>
      <c r="E10" s="2"/>
      <c r="F10" s="2"/>
      <c r="G10" s="2"/>
      <c r="H10" s="2"/>
    </row>
    <row r="11" spans="1:10" ht="14.4" thickBot="1">
      <c r="A11" s="10"/>
      <c r="B11" s="2"/>
      <c r="C11" s="2"/>
      <c r="D11" s="2"/>
      <c r="E11" s="2"/>
      <c r="F11" s="2"/>
      <c r="G11" s="2"/>
      <c r="H11" s="2"/>
      <c r="J11" t="s">
        <v>1235</v>
      </c>
    </row>
    <row r="12" spans="1:10" ht="15" thickBot="1">
      <c r="A12" s="9" t="s">
        <v>4</v>
      </c>
      <c r="B12" s="2"/>
      <c r="C12" s="2"/>
      <c r="D12" s="2"/>
      <c r="E12" s="2"/>
      <c r="F12" s="2"/>
      <c r="G12" s="2"/>
      <c r="H12" s="2"/>
      <c r="J12" s="40" t="s">
        <v>1236</v>
      </c>
    </row>
    <row r="13" spans="1:10" ht="15" thickBot="1">
      <c r="A13" s="9" t="s">
        <v>5</v>
      </c>
      <c r="B13" s="2"/>
      <c r="C13" s="2"/>
      <c r="D13" s="2"/>
      <c r="E13" s="2"/>
      <c r="F13" s="2"/>
      <c r="G13" s="2"/>
      <c r="H13" s="2"/>
    </row>
    <row r="14" spans="1:10" ht="15" thickBot="1">
      <c r="A14" s="9" t="s">
        <v>6</v>
      </c>
      <c r="B14" s="2"/>
      <c r="C14" s="2"/>
      <c r="D14" s="2"/>
      <c r="E14" s="2"/>
      <c r="F14" s="2"/>
      <c r="G14" s="2"/>
      <c r="H14" s="2"/>
      <c r="J14" s="45" t="s">
        <v>1252</v>
      </c>
    </row>
    <row r="15" spans="1:10" ht="15" thickBot="1">
      <c r="A15" s="9" t="s">
        <v>7</v>
      </c>
      <c r="B15" s="2"/>
      <c r="C15" s="2"/>
      <c r="D15" s="2"/>
      <c r="E15" s="2"/>
      <c r="F15" s="2"/>
      <c r="G15" s="2"/>
      <c r="H15" s="2"/>
      <c r="J15" s="45" t="s">
        <v>1479</v>
      </c>
    </row>
    <row r="16" spans="1:10" ht="15" thickBot="1">
      <c r="A16" s="9" t="s">
        <v>8</v>
      </c>
      <c r="B16" s="2"/>
      <c r="C16" s="2"/>
      <c r="D16" s="2"/>
      <c r="E16" s="2"/>
      <c r="F16" s="2"/>
      <c r="G16" s="2"/>
      <c r="H16" s="2"/>
    </row>
    <row r="18" spans="1:9">
      <c r="A18" s="38" t="s">
        <v>15</v>
      </c>
      <c r="B18" s="5"/>
      <c r="C18" s="5"/>
      <c r="D18" s="5"/>
      <c r="E18" s="5"/>
      <c r="F18" s="5"/>
      <c r="G18" s="5"/>
      <c r="H18" s="5"/>
      <c r="I18" s="5"/>
    </row>
    <row r="19" spans="1:9" ht="14.4">
      <c r="A19" s="5" t="s">
        <v>10</v>
      </c>
      <c r="B19" s="7" t="s">
        <v>11</v>
      </c>
      <c r="D19" s="6"/>
      <c r="E19" s="6"/>
      <c r="F19" s="6"/>
      <c r="G19" s="6"/>
    </row>
    <row r="20" spans="1:9" ht="14.4">
      <c r="A20" s="5" t="s">
        <v>12</v>
      </c>
      <c r="B20" s="7" t="s">
        <v>13</v>
      </c>
      <c r="D20" s="6"/>
      <c r="E20" s="6"/>
      <c r="F20" s="6"/>
      <c r="G20" s="6"/>
    </row>
    <row r="21" spans="1:9" ht="14.4">
      <c r="A21" s="5" t="s">
        <v>14</v>
      </c>
      <c r="B21" s="7" t="s">
        <v>13</v>
      </c>
      <c r="D21" s="6"/>
      <c r="E21" s="6"/>
      <c r="F21" s="6"/>
      <c r="G21" s="6"/>
    </row>
  </sheetData>
  <sheetProtection algorithmName="SHA-512" hashValue="oHQvp9w+jAqkylIMzscohtedYXSuk5WX1FMyJN6Q7y4nfvtqCFCQI1Ww5RBRJr3sNRdVngxbJ5dmz2dks7DB8Q==" saltValue="RqvXWBOzkiTsxKCgC6+1/g==" spinCount="100000" sheet="1" objects="1" scenarios="1"/>
  <hyperlinks>
    <hyperlink ref="J12" r:id="rId1"/>
  </hyperlinks>
  <pageMargins left="0.7" right="0.7" top="0.75" bottom="0.75" header="0.3" footer="0.3"/>
  <pageSetup paperSize="9" orientation="portrait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I19"/>
  <sheetViews>
    <sheetView workbookViewId="0">
      <selection activeCell="A20" sqref="A20"/>
    </sheetView>
  </sheetViews>
  <sheetFormatPr defaultRowHeight="13.8"/>
  <cols>
    <col min="1" max="1" width="24.8984375" customWidth="1"/>
    <col min="2" max="2" width="17.296875" customWidth="1"/>
    <col min="4" max="4" width="8.59765625" bestFit="1" customWidth="1"/>
    <col min="5" max="5" width="10.8984375" bestFit="1" customWidth="1"/>
    <col min="8" max="8" width="8.59765625" bestFit="1" customWidth="1"/>
    <col min="9" max="9" width="10.8984375" bestFit="1" customWidth="1"/>
  </cols>
  <sheetData>
    <row r="4" spans="1:9">
      <c r="D4" t="s">
        <v>96</v>
      </c>
    </row>
    <row r="5" spans="1:9">
      <c r="A5" s="11" t="s">
        <v>85</v>
      </c>
      <c r="B5" s="37" t="s">
        <v>89</v>
      </c>
      <c r="C5" s="34" t="s">
        <v>29</v>
      </c>
      <c r="D5" s="36">
        <f>VLOOKUP(Example!C5,Bitfinex!A:B,2,FALSE)</f>
        <v>4603</v>
      </c>
    </row>
    <row r="6" spans="1:9">
      <c r="A6" s="11" t="s">
        <v>91</v>
      </c>
      <c r="B6" s="37" t="s">
        <v>90</v>
      </c>
      <c r="C6" s="34" t="s">
        <v>42</v>
      </c>
      <c r="D6" s="36">
        <f>VLOOKUP(Example!C6,Poloniex!A:B,2,FALSE)</f>
        <v>7.322265E-2</v>
      </c>
    </row>
    <row r="7" spans="1:9">
      <c r="A7" s="11"/>
      <c r="B7" s="37" t="s">
        <v>92</v>
      </c>
      <c r="C7" s="34" t="s">
        <v>93</v>
      </c>
      <c r="D7" s="36">
        <f>VLOOKUP(Example!C7,Bittrex!A:B,2,FALSE)</f>
        <v>2.7922200000000002E-3</v>
      </c>
      <c r="F7" t="s">
        <v>103</v>
      </c>
    </row>
    <row r="8" spans="1:9">
      <c r="A8" s="11"/>
      <c r="B8" s="37" t="s">
        <v>94</v>
      </c>
      <c r="C8" s="34" t="s">
        <v>95</v>
      </c>
      <c r="D8" s="36">
        <f>VLOOKUP(Example!C8,Bx!A:B,2,FALSE)</f>
        <v>147500</v>
      </c>
    </row>
    <row r="9" spans="1:9">
      <c r="A9" s="11"/>
      <c r="C9" s="21"/>
    </row>
    <row r="10" spans="1:9">
      <c r="A10" s="11" t="s">
        <v>81</v>
      </c>
      <c r="B10" s="37" t="s">
        <v>87</v>
      </c>
      <c r="F10" s="39"/>
      <c r="G10" s="39" t="s">
        <v>19</v>
      </c>
      <c r="H10" s="39" t="s">
        <v>97</v>
      </c>
      <c r="I10" s="39" t="s">
        <v>98</v>
      </c>
    </row>
    <row r="11" spans="1:9">
      <c r="A11" s="11"/>
      <c r="B11" s="37" t="s">
        <v>16</v>
      </c>
      <c r="F11" s="39" t="s">
        <v>99</v>
      </c>
      <c r="G11" s="34">
        <f>VLOOKUP("btcusd",Bitfinex!A:B,2,FALSE)</f>
        <v>4603</v>
      </c>
      <c r="H11" s="34">
        <f>VLOOKUP("btcthb",Bx!A:B,2,FALSE)</f>
        <v>147500</v>
      </c>
      <c r="I11" s="34">
        <f>USDTHB</f>
        <v>33.106231953612607</v>
      </c>
    </row>
    <row r="12" spans="1:9">
      <c r="A12" s="11"/>
      <c r="B12" s="37" t="s">
        <v>88</v>
      </c>
      <c r="F12" s="39" t="s">
        <v>101</v>
      </c>
      <c r="G12" s="34">
        <f>VLOOKUP("ethusd",Bitfinex!A:B,2,FALSE)</f>
        <v>333.37</v>
      </c>
      <c r="H12" s="34">
        <f>VLOOKUP("eththb",Bx!A:B,2,FALSE)</f>
        <v>10652</v>
      </c>
      <c r="I12" s="34"/>
    </row>
    <row r="13" spans="1:9">
      <c r="A13" s="11"/>
      <c r="F13" s="39" t="s">
        <v>100</v>
      </c>
      <c r="G13" s="34">
        <f>VLOOKUP("omgusd",Bitfinex!A:B,2,FALSE)</f>
        <v>12.529</v>
      </c>
      <c r="H13" s="34">
        <f>VLOOKUP("omgthb",Bx!A:B,2,FALSE)</f>
        <v>407</v>
      </c>
      <c r="I13" s="34"/>
    </row>
    <row r="14" spans="1:9">
      <c r="A14" s="11" t="s">
        <v>83</v>
      </c>
      <c r="B14" s="37" t="s">
        <v>82</v>
      </c>
      <c r="C14" s="36">
        <f>USDTHB</f>
        <v>33.106231953612607</v>
      </c>
    </row>
    <row r="15" spans="1:9">
      <c r="A15" s="42" t="s">
        <v>1241</v>
      </c>
      <c r="B15" s="37" t="s">
        <v>84</v>
      </c>
      <c r="C15" s="36">
        <f>EURTHB</f>
        <v>39.659674291731228</v>
      </c>
    </row>
    <row r="16" spans="1:9" ht="14.4" thickBot="1">
      <c r="A16" s="11"/>
      <c r="H16" s="49" t="s">
        <v>102</v>
      </c>
      <c r="I16" s="49"/>
    </row>
    <row r="17" spans="1:9" ht="15" thickTop="1" thickBot="1">
      <c r="A17" s="42" t="s">
        <v>1242</v>
      </c>
      <c r="B17" s="43" t="s">
        <v>1244</v>
      </c>
      <c r="C17" s="36">
        <f>VLOOKUP(B17,FloatRates.com!H:I,2,FALSE)</f>
        <v>33.106231953612607</v>
      </c>
      <c r="H17" s="1" t="s">
        <v>105</v>
      </c>
      <c r="I17" s="1" t="s">
        <v>151</v>
      </c>
    </row>
    <row r="18" spans="1:9" ht="14.4" thickTop="1">
      <c r="H18" s="1" t="s">
        <v>1231</v>
      </c>
      <c r="I18" s="1">
        <v>18874</v>
      </c>
    </row>
    <row r="19" spans="1:9">
      <c r="A19" t="s">
        <v>1251</v>
      </c>
      <c r="H19" s="1" t="s">
        <v>1232</v>
      </c>
      <c r="I19" s="1">
        <v>3999981126</v>
      </c>
    </row>
  </sheetData>
  <mergeCells count="1">
    <mergeCell ref="H16:I16"/>
  </mergeCells>
  <dataValidations count="6">
    <dataValidation type="list" allowBlank="1" showInputMessage="1" showErrorMessage="1" sqref="B3">
      <formula1>"CryptowatTable[@Name]"</formula1>
    </dataValidation>
    <dataValidation type="list" allowBlank="1" showInputMessage="1" showErrorMessage="1" sqref="C5">
      <formula1>BITFINEX_PAIRS</formula1>
    </dataValidation>
    <dataValidation type="list" allowBlank="1" showInputMessage="1" showErrorMessage="1" sqref="C6">
      <formula1>POLONIEX_PAIRS</formula1>
    </dataValidation>
    <dataValidation type="list" allowBlank="1" showInputMessage="1" showErrorMessage="1" sqref="C7 C9">
      <formula1>BITTREX_PAIRS</formula1>
    </dataValidation>
    <dataValidation type="list" allowBlank="1" showInputMessage="1" showErrorMessage="1" sqref="C8">
      <formula1>BX_PAIRS</formula1>
    </dataValidation>
    <dataValidation type="list" allowBlank="1" showInputMessage="1" showErrorMessage="1" sqref="B17">
      <formula1>FIAT_PAIRS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A1:J257"/>
  <sheetViews>
    <sheetView topLeftCell="A6" workbookViewId="0">
      <selection activeCell="L23" sqref="L23"/>
    </sheetView>
  </sheetViews>
  <sheetFormatPr defaultRowHeight="13.8"/>
  <cols>
    <col min="1" max="1" width="26" bestFit="1" customWidth="1"/>
    <col min="2" max="2" width="10.8984375" bestFit="1" customWidth="1"/>
    <col min="3" max="3" width="9.19921875" bestFit="1" customWidth="1"/>
    <col min="4" max="4" width="20.09765625" bestFit="1" customWidth="1"/>
    <col min="5" max="5" width="3.3984375" customWidth="1"/>
    <col min="6" max="6" width="7.3984375" bestFit="1" customWidth="1"/>
    <col min="7" max="7" width="11.5" bestFit="1" customWidth="1"/>
    <col min="8" max="8" width="2.8984375" customWidth="1"/>
    <col min="9" max="9" width="7.3984375" bestFit="1" customWidth="1"/>
    <col min="10" max="10" width="11.5" bestFit="1" customWidth="1"/>
    <col min="11" max="11" width="10.796875" bestFit="1" customWidth="1"/>
    <col min="12" max="12" width="9.69921875" bestFit="1" customWidth="1"/>
    <col min="13" max="13" width="10.796875" bestFit="1" customWidth="1"/>
    <col min="14" max="19" width="9.69921875" bestFit="1" customWidth="1"/>
    <col min="20" max="20" width="7.5" bestFit="1" customWidth="1"/>
    <col min="21" max="22" width="8.59765625" bestFit="1" customWidth="1"/>
    <col min="23" max="23" width="6.3984375" bestFit="1" customWidth="1"/>
    <col min="24" max="24" width="7.5" bestFit="1" customWidth="1"/>
    <col min="25" max="25" width="8.59765625" bestFit="1" customWidth="1"/>
    <col min="26" max="29" width="7.5" bestFit="1" customWidth="1"/>
    <col min="30" max="30" width="5.296875" bestFit="1" customWidth="1"/>
    <col min="31" max="31" width="7.5" bestFit="1" customWidth="1"/>
    <col min="32" max="32" width="6.3984375" bestFit="1" customWidth="1"/>
    <col min="33" max="34" width="7.5" bestFit="1" customWidth="1"/>
    <col min="35" max="35" width="6.3984375" bestFit="1" customWidth="1"/>
    <col min="36" max="36" width="4.19921875" bestFit="1" customWidth="1"/>
    <col min="37" max="38" width="7.5" bestFit="1" customWidth="1"/>
    <col min="39" max="39" width="11.3984375" bestFit="1" customWidth="1"/>
    <col min="40" max="40" width="11.8984375" bestFit="1" customWidth="1"/>
    <col min="41" max="41" width="9.69921875" bestFit="1" customWidth="1"/>
    <col min="42" max="42" width="11.8984375" bestFit="1" customWidth="1"/>
    <col min="43" max="43" width="7.5" bestFit="1" customWidth="1"/>
    <col min="44" max="44" width="11.8984375" bestFit="1" customWidth="1"/>
    <col min="45" max="45" width="5.296875" bestFit="1" customWidth="1"/>
    <col min="46" max="46" width="6.3984375" bestFit="1" customWidth="1"/>
    <col min="47" max="47" width="7.5" bestFit="1" customWidth="1"/>
    <col min="48" max="49" width="9.69921875" bestFit="1" customWidth="1"/>
    <col min="50" max="51" width="7.5" bestFit="1" customWidth="1"/>
    <col min="52" max="52" width="8.59765625" bestFit="1" customWidth="1"/>
    <col min="53" max="53" width="9.69921875" bestFit="1" customWidth="1"/>
    <col min="54" max="55" width="11.8984375" bestFit="1" customWidth="1"/>
    <col min="56" max="56" width="9.69921875" bestFit="1" customWidth="1"/>
    <col min="57" max="58" width="11.8984375" bestFit="1" customWidth="1"/>
    <col min="59" max="59" width="8.59765625" bestFit="1" customWidth="1"/>
    <col min="60" max="60" width="9.69921875" bestFit="1" customWidth="1"/>
    <col min="61" max="61" width="11.8984375" bestFit="1" customWidth="1"/>
    <col min="62" max="62" width="9.69921875" bestFit="1" customWidth="1"/>
    <col min="63" max="63" width="11.8984375" bestFit="1" customWidth="1"/>
    <col min="64" max="64" width="8.59765625" bestFit="1" customWidth="1"/>
    <col min="65" max="65" width="9.69921875" bestFit="1" customWidth="1"/>
    <col min="66" max="66" width="11.8984375" bestFit="1" customWidth="1"/>
    <col min="67" max="67" width="8.59765625" bestFit="1" customWidth="1"/>
    <col min="68" max="68" width="9.69921875" bestFit="1" customWidth="1"/>
    <col min="69" max="69" width="8.59765625" bestFit="1" customWidth="1"/>
    <col min="70" max="70" width="10.796875" bestFit="1" customWidth="1"/>
    <col min="71" max="71" width="8.59765625" bestFit="1" customWidth="1"/>
    <col min="72" max="72" width="10.796875" bestFit="1" customWidth="1"/>
    <col min="73" max="73" width="5.296875" bestFit="1" customWidth="1"/>
    <col min="74" max="74" width="8.59765625" bestFit="1" customWidth="1"/>
    <col min="75" max="75" width="7.5" bestFit="1" customWidth="1"/>
    <col min="76" max="76" width="9.69921875" bestFit="1" customWidth="1"/>
    <col min="77" max="77" width="11.8984375" bestFit="1" customWidth="1"/>
    <col min="78" max="78" width="8.59765625" bestFit="1" customWidth="1"/>
    <col min="79" max="79" width="7.5" bestFit="1" customWidth="1"/>
    <col min="80" max="80" width="11.8984375" bestFit="1" customWidth="1"/>
    <col min="81" max="82" width="8.59765625" bestFit="1" customWidth="1"/>
    <col min="83" max="83" width="11.8984375" bestFit="1" customWidth="1"/>
    <col min="84" max="84" width="9.69921875" bestFit="1" customWidth="1"/>
    <col min="85" max="85" width="11.8984375" bestFit="1" customWidth="1"/>
    <col min="86" max="86" width="8.59765625" bestFit="1" customWidth="1"/>
    <col min="87" max="87" width="6.3984375" bestFit="1" customWidth="1"/>
    <col min="88" max="88" width="8.59765625" bestFit="1" customWidth="1"/>
    <col min="89" max="89" width="5.296875" bestFit="1" customWidth="1"/>
    <col min="90" max="90" width="7.5" bestFit="1" customWidth="1"/>
    <col min="91" max="92" width="8.59765625" bestFit="1" customWidth="1"/>
    <col min="93" max="94" width="7.5" bestFit="1" customWidth="1"/>
    <col min="95" max="95" width="6.3984375" bestFit="1" customWidth="1"/>
    <col min="96" max="96" width="8.59765625" bestFit="1" customWidth="1"/>
    <col min="97" max="97" width="11.8984375" bestFit="1" customWidth="1"/>
    <col min="98" max="99" width="8.59765625" bestFit="1" customWidth="1"/>
    <col min="100" max="100" width="9.69921875" bestFit="1" customWidth="1"/>
    <col min="101" max="101" width="10.796875" bestFit="1" customWidth="1"/>
    <col min="102" max="102" width="7.5" bestFit="1" customWidth="1"/>
    <col min="103" max="103" width="10.796875" bestFit="1" customWidth="1"/>
    <col min="104" max="104" width="6.3984375" bestFit="1" customWidth="1"/>
    <col min="105" max="105" width="10.796875" bestFit="1" customWidth="1"/>
    <col min="106" max="106" width="7.5" bestFit="1" customWidth="1"/>
    <col min="107" max="107" width="8.59765625" bestFit="1" customWidth="1"/>
    <col min="108" max="108" width="7.5" bestFit="1" customWidth="1"/>
    <col min="109" max="109" width="6.3984375" bestFit="1" customWidth="1"/>
    <col min="110" max="110" width="7.5" bestFit="1" customWidth="1"/>
    <col min="111" max="111" width="8.59765625" bestFit="1" customWidth="1"/>
    <col min="112" max="113" width="7.5" bestFit="1" customWidth="1"/>
    <col min="114" max="114" width="10.796875" bestFit="1" customWidth="1"/>
    <col min="115" max="115" width="5.296875" bestFit="1" customWidth="1"/>
    <col min="116" max="117" width="8.59765625" bestFit="1" customWidth="1"/>
    <col min="118" max="118" width="7.5" bestFit="1" customWidth="1"/>
    <col min="119" max="119" width="5.296875" bestFit="1" customWidth="1"/>
    <col min="120" max="121" width="7.5" bestFit="1" customWidth="1"/>
    <col min="122" max="122" width="6.3984375" bestFit="1" customWidth="1"/>
    <col min="123" max="123" width="7.5" bestFit="1" customWidth="1"/>
    <col min="124" max="124" width="8.59765625" bestFit="1" customWidth="1"/>
    <col min="125" max="125" width="7.5" bestFit="1" customWidth="1"/>
    <col min="126" max="126" width="8.59765625" bestFit="1" customWidth="1"/>
    <col min="127" max="127" width="10.796875" bestFit="1" customWidth="1"/>
    <col min="128" max="129" width="9.69921875" bestFit="1" customWidth="1"/>
    <col min="130" max="131" width="6.3984375" bestFit="1" customWidth="1"/>
    <col min="132" max="132" width="3.09765625" bestFit="1" customWidth="1"/>
    <col min="133" max="134" width="7.5" bestFit="1" customWidth="1"/>
    <col min="135" max="135" width="6.3984375" bestFit="1" customWidth="1"/>
    <col min="136" max="137" width="5.296875" bestFit="1" customWidth="1"/>
    <col min="138" max="140" width="6.3984375" bestFit="1" customWidth="1"/>
    <col min="141" max="143" width="7.5" bestFit="1" customWidth="1"/>
    <col min="144" max="144" width="8.59765625" bestFit="1" customWidth="1"/>
    <col min="145" max="145" width="7.5" bestFit="1" customWidth="1"/>
    <col min="146" max="146" width="9.69921875" bestFit="1" customWidth="1"/>
    <col min="147" max="147" width="4.19921875" bestFit="1" customWidth="1"/>
    <col min="148" max="148" width="6.3984375" bestFit="1" customWidth="1"/>
    <col min="149" max="150" width="10.796875" bestFit="1" customWidth="1"/>
    <col min="151" max="151" width="4.19921875" bestFit="1" customWidth="1"/>
    <col min="152" max="152" width="6.3984375" bestFit="1" customWidth="1"/>
    <col min="153" max="153" width="4.19921875" bestFit="1" customWidth="1"/>
    <col min="154" max="154" width="6.3984375" bestFit="1" customWidth="1"/>
    <col min="155" max="155" width="4.19921875" bestFit="1" customWidth="1"/>
    <col min="156" max="157" width="7.5" bestFit="1" customWidth="1"/>
    <col min="158" max="158" width="4.19921875" bestFit="1" customWidth="1"/>
    <col min="159" max="163" width="7.5" bestFit="1" customWidth="1"/>
    <col min="164" max="164" width="6.3984375" bestFit="1" customWidth="1"/>
    <col min="165" max="166" width="7.5" bestFit="1" customWidth="1"/>
    <col min="167" max="167" width="4.19921875" bestFit="1" customWidth="1"/>
    <col min="168" max="168" width="6.3984375" bestFit="1" customWidth="1"/>
    <col min="169" max="171" width="7.5" bestFit="1" customWidth="1"/>
    <col min="172" max="173" width="4.19921875" bestFit="1" customWidth="1"/>
    <col min="174" max="174" width="7.5" bestFit="1" customWidth="1"/>
    <col min="175" max="175" width="4.19921875" bestFit="1" customWidth="1"/>
    <col min="176" max="176" width="6.3984375" bestFit="1" customWidth="1"/>
    <col min="177" max="177" width="4.19921875" bestFit="1" customWidth="1"/>
    <col min="178" max="179" width="6.3984375" bestFit="1" customWidth="1"/>
    <col min="180" max="180" width="9.69921875" bestFit="1" customWidth="1"/>
    <col min="181" max="181" width="4.19921875" bestFit="1" customWidth="1"/>
    <col min="182" max="182" width="5.296875" bestFit="1" customWidth="1"/>
    <col min="183" max="183" width="8.59765625" bestFit="1" customWidth="1"/>
    <col min="184" max="184" width="10.796875" bestFit="1" customWidth="1"/>
    <col min="185" max="185" width="7.5" bestFit="1" customWidth="1"/>
    <col min="186" max="187" width="8.59765625" bestFit="1" customWidth="1"/>
    <col min="188" max="188" width="5.296875" bestFit="1" customWidth="1"/>
    <col min="189" max="189" width="10.796875" bestFit="1" customWidth="1"/>
    <col min="190" max="190" width="7.5" bestFit="1" customWidth="1"/>
    <col min="191" max="191" width="9.69921875" bestFit="1" customWidth="1"/>
    <col min="192" max="193" width="8.59765625" bestFit="1" customWidth="1"/>
    <col min="194" max="194" width="7.5" bestFit="1" customWidth="1"/>
    <col min="195" max="195" width="10.796875" bestFit="1" customWidth="1"/>
    <col min="196" max="196" width="7.5" bestFit="1" customWidth="1"/>
    <col min="197" max="198" width="8.59765625" bestFit="1" customWidth="1"/>
    <col min="199" max="200" width="7.5" bestFit="1" customWidth="1"/>
    <col min="201" max="201" width="10.796875" bestFit="1" customWidth="1"/>
    <col min="202" max="203" width="7.5" bestFit="1" customWidth="1"/>
    <col min="204" max="204" width="5.296875" bestFit="1" customWidth="1"/>
    <col min="205" max="206" width="10.796875" bestFit="1" customWidth="1"/>
    <col min="207" max="207" width="9.69921875" bestFit="1" customWidth="1"/>
    <col min="208" max="208" width="5.296875" bestFit="1" customWidth="1"/>
    <col min="209" max="209" width="10.796875" bestFit="1" customWidth="1"/>
    <col min="210" max="210" width="6.3984375" bestFit="1" customWidth="1"/>
    <col min="211" max="213" width="9.69921875" bestFit="1" customWidth="1"/>
    <col min="214" max="216" width="6.3984375" bestFit="1" customWidth="1"/>
    <col min="217" max="217" width="10.796875" bestFit="1" customWidth="1"/>
    <col min="218" max="222" width="6.3984375" bestFit="1" customWidth="1"/>
    <col min="223" max="223" width="7.5" bestFit="1" customWidth="1"/>
    <col min="224" max="225" width="10.796875" bestFit="1" customWidth="1"/>
    <col min="226" max="235" width="7.5" bestFit="1" customWidth="1"/>
    <col min="236" max="236" width="8.59765625" bestFit="1" customWidth="1"/>
    <col min="237" max="237" width="9.69921875" bestFit="1" customWidth="1"/>
    <col min="238" max="238" width="11.3984375" bestFit="1" customWidth="1"/>
  </cols>
  <sheetData>
    <row r="1" spans="1:10">
      <c r="A1" s="1" t="s">
        <v>105</v>
      </c>
      <c r="B1" s="1" t="s">
        <v>151</v>
      </c>
      <c r="C1" t="s">
        <v>18</v>
      </c>
      <c r="D1" t="s">
        <v>17</v>
      </c>
    </row>
    <row r="2" spans="1:10">
      <c r="A2" s="1" t="s">
        <v>152</v>
      </c>
      <c r="B2" s="1">
        <v>0.83099999999999996</v>
      </c>
      <c r="C2" s="1" t="str">
        <f>MID(CRYPTOWAT[[#This Row],[Name]],1,FIND(":",A2,1)-1)</f>
        <v>bitfinex</v>
      </c>
      <c r="D2" s="1" t="str">
        <f>MID(CRYPTOWAT[[#This Row],[Name]],FIND(":",A2,1)+1,100)</f>
        <v>bccbtc</v>
      </c>
      <c r="F2" s="13" t="s">
        <v>18</v>
      </c>
      <c r="G2" t="s">
        <v>20</v>
      </c>
      <c r="I2" s="13" t="s">
        <v>18</v>
      </c>
      <c r="J2" t="s">
        <v>1233</v>
      </c>
    </row>
    <row r="3" spans="1:10">
      <c r="A3" s="1" t="s">
        <v>153</v>
      </c>
      <c r="B3" s="1">
        <v>3800</v>
      </c>
      <c r="C3" s="1" t="str">
        <f>MID(CRYPTOWAT[[#This Row],[Name]],1,FIND(":",A3,1)-1)</f>
        <v>bitfinex</v>
      </c>
      <c r="D3" s="1" t="str">
        <f>MID(CRYPTOWAT[[#This Row],[Name]],FIND(":",A3,1)+1,100)</f>
        <v>bccusd</v>
      </c>
    </row>
    <row r="4" spans="1:10">
      <c r="A4" s="1" t="s">
        <v>154</v>
      </c>
      <c r="B4" s="1">
        <v>0.14924999999999999</v>
      </c>
      <c r="C4" s="1" t="str">
        <f>MID(CRYPTOWAT[[#This Row],[Name]],1,FIND(":",A4,1)-1)</f>
        <v>bitfinex</v>
      </c>
      <c r="D4" s="1" t="str">
        <f>MID(CRYPTOWAT[[#This Row],[Name]],FIND(":",A4,1)+1,100)</f>
        <v>bchbtc</v>
      </c>
      <c r="G4" t="s">
        <v>1234</v>
      </c>
      <c r="J4" t="s">
        <v>1234</v>
      </c>
    </row>
    <row r="5" spans="1:10">
      <c r="A5" s="1" t="s">
        <v>155</v>
      </c>
      <c r="B5" s="1">
        <v>2.0829</v>
      </c>
      <c r="C5" s="1" t="str">
        <f>MID(CRYPTOWAT[[#This Row],[Name]],1,FIND(":",A5,1)-1)</f>
        <v>bitfinex</v>
      </c>
      <c r="D5" s="1" t="str">
        <f>MID(CRYPTOWAT[[#This Row],[Name]],FIND(":",A5,1)+1,100)</f>
        <v>bcheth</v>
      </c>
      <c r="F5" s="14" t="s">
        <v>21</v>
      </c>
      <c r="G5" s="1">
        <v>0.87990000000000002</v>
      </c>
      <c r="H5" s="1"/>
      <c r="I5" s="14" t="s">
        <v>23</v>
      </c>
      <c r="J5" s="1">
        <v>0.14254364</v>
      </c>
    </row>
    <row r="6" spans="1:10">
      <c r="A6" s="1" t="s">
        <v>156</v>
      </c>
      <c r="B6" s="1">
        <v>684.98</v>
      </c>
      <c r="C6" s="1" t="str">
        <f>MID(CRYPTOWAT[[#This Row],[Name]],1,FIND(":",A6,1)-1)</f>
        <v>bitfinex</v>
      </c>
      <c r="D6" s="1" t="str">
        <f>MID(CRYPTOWAT[[#This Row],[Name]],FIND(":",A6,1)+1,100)</f>
        <v>bchusd</v>
      </c>
      <c r="F6" s="14" t="s">
        <v>22</v>
      </c>
      <c r="G6" s="1">
        <v>3800</v>
      </c>
      <c r="H6" s="1"/>
      <c r="I6" s="14" t="s">
        <v>29</v>
      </c>
      <c r="J6" s="1">
        <v>4611.2304999999997</v>
      </c>
    </row>
    <row r="7" spans="1:10">
      <c r="A7" s="1" t="s">
        <v>157</v>
      </c>
      <c r="B7" s="1">
        <v>0.15498999999999999</v>
      </c>
      <c r="C7" s="1" t="str">
        <f>MID(CRYPTOWAT[[#This Row],[Name]],1,FIND(":",A7,1)-1)</f>
        <v>bitfinex</v>
      </c>
      <c r="D7" s="1" t="str">
        <f>MID(CRYPTOWAT[[#This Row],[Name]],FIND(":",A7,1)+1,100)</f>
        <v>bcubtc</v>
      </c>
      <c r="F7" s="14" t="s">
        <v>23</v>
      </c>
      <c r="G7" s="1">
        <v>0.14299999999999999</v>
      </c>
      <c r="H7" s="1"/>
      <c r="I7" s="14" t="s">
        <v>30</v>
      </c>
      <c r="J7" s="1">
        <v>3.3080000000000002E-5</v>
      </c>
    </row>
    <row r="8" spans="1:10">
      <c r="A8" s="1" t="s">
        <v>158</v>
      </c>
      <c r="B8" s="1">
        <v>699.98</v>
      </c>
      <c r="C8" s="1" t="str">
        <f>MID(CRYPTOWAT[[#This Row],[Name]],1,FIND(":",A8,1)-1)</f>
        <v>bitfinex</v>
      </c>
      <c r="D8" s="1" t="str">
        <f>MID(CRYPTOWAT[[#This Row],[Name]],FIND(":",A8,1)+1,100)</f>
        <v>bcuusd</v>
      </c>
      <c r="F8" s="14" t="s">
        <v>24</v>
      </c>
      <c r="G8" s="1">
        <v>1.9883</v>
      </c>
      <c r="H8" s="1"/>
      <c r="I8" s="14" t="s">
        <v>31</v>
      </c>
      <c r="J8" s="1">
        <v>0</v>
      </c>
    </row>
    <row r="9" spans="1:10">
      <c r="A9" s="1" t="s">
        <v>159</v>
      </c>
      <c r="B9" s="1">
        <v>0.99980000000000002</v>
      </c>
      <c r="C9" s="1" t="str">
        <f>MID(CRYPTOWAT[[#This Row],[Name]],1,FIND(":",A9,1)-1)</f>
        <v>bitfinex</v>
      </c>
      <c r="D9" s="1" t="str">
        <f>MID(CRYPTOWAT[[#This Row],[Name]],FIND(":",A9,1)+1,100)</f>
        <v>bfxusd</v>
      </c>
      <c r="F9" s="14" t="s">
        <v>25</v>
      </c>
      <c r="G9" s="1">
        <v>658.92</v>
      </c>
      <c r="H9" s="1"/>
      <c r="I9" s="14" t="s">
        <v>32</v>
      </c>
      <c r="J9" s="1">
        <v>0</v>
      </c>
    </row>
    <row r="10" spans="1:10">
      <c r="A10" s="1" t="s">
        <v>160</v>
      </c>
      <c r="B10" s="1">
        <v>4587</v>
      </c>
      <c r="C10" s="1" t="str">
        <f>MID(CRYPTOWAT[[#This Row],[Name]],1,FIND(":",A10,1)-1)</f>
        <v>bitfinex</v>
      </c>
      <c r="D10" s="1" t="str">
        <f>MID(CRYPTOWAT[[#This Row],[Name]],FIND(":",A10,1)+1,100)</f>
        <v>btcusd</v>
      </c>
      <c r="F10" s="14" t="s">
        <v>26</v>
      </c>
      <c r="G10" s="1">
        <v>0.15498999999999999</v>
      </c>
      <c r="H10" s="1"/>
      <c r="I10" s="14" t="s">
        <v>33</v>
      </c>
      <c r="J10" s="1">
        <v>7.4422600000000005E-2</v>
      </c>
    </row>
    <row r="11" spans="1:10">
      <c r="A11" s="1" t="s">
        <v>161</v>
      </c>
      <c r="B11" s="1">
        <v>7.5648999999999994E-2</v>
      </c>
      <c r="C11" s="1" t="str">
        <f>MID(CRYPTOWAT[[#This Row],[Name]],1,FIND(":",A11,1)-1)</f>
        <v>bitfinex</v>
      </c>
      <c r="D11" s="1" t="str">
        <f>MID(CRYPTOWAT[[#This Row],[Name]],FIND(":",A11,1)+1,100)</f>
        <v>dashbtc</v>
      </c>
      <c r="F11" s="14" t="s">
        <v>27</v>
      </c>
      <c r="G11" s="1">
        <v>640</v>
      </c>
      <c r="H11" s="1"/>
      <c r="I11" s="14" t="s">
        <v>34</v>
      </c>
      <c r="J11" s="1">
        <v>345.35845999999998</v>
      </c>
    </row>
    <row r="12" spans="1:10">
      <c r="A12" s="1" t="s">
        <v>162</v>
      </c>
      <c r="B12" s="1">
        <v>346</v>
      </c>
      <c r="C12" s="1" t="str">
        <f>MID(CRYPTOWAT[[#This Row],[Name]],1,FIND(":",A12,1)-1)</f>
        <v>bitfinex</v>
      </c>
      <c r="D12" s="1" t="str">
        <f>MID(CRYPTOWAT[[#This Row],[Name]],FIND(":",A12,1)+1,100)</f>
        <v>dashusd</v>
      </c>
      <c r="F12" s="14" t="s">
        <v>28</v>
      </c>
      <c r="G12" s="1">
        <v>0.99980000000000002</v>
      </c>
      <c r="H12" s="1"/>
      <c r="I12" s="14" t="s">
        <v>35</v>
      </c>
      <c r="J12" s="1">
        <v>4.0300000000000004E-6</v>
      </c>
    </row>
    <row r="13" spans="1:10">
      <c r="A13" s="1" t="s">
        <v>163</v>
      </c>
      <c r="B13" s="1">
        <v>2.0000000000000001E-4</v>
      </c>
      <c r="C13" s="1" t="str">
        <f>MID(CRYPTOWAT[[#This Row],[Name]],1,FIND(":",A13,1)-1)</f>
        <v>bitfinex</v>
      </c>
      <c r="D13" s="1" t="str">
        <f>MID(CRYPTOWAT[[#This Row],[Name]],FIND(":",A13,1)+1,100)</f>
        <v>eosbtc</v>
      </c>
      <c r="F13" s="14" t="s">
        <v>29</v>
      </c>
      <c r="G13" s="1">
        <v>4603</v>
      </c>
      <c r="H13" s="1"/>
      <c r="I13" s="14" t="s">
        <v>39</v>
      </c>
      <c r="J13" s="1">
        <v>3.9936700000000004E-3</v>
      </c>
    </row>
    <row r="14" spans="1:10">
      <c r="A14" s="1" t="s">
        <v>164</v>
      </c>
      <c r="B14" s="1">
        <v>2.7712000000000001E-3</v>
      </c>
      <c r="C14" s="1" t="str">
        <f>MID(CRYPTOWAT[[#This Row],[Name]],1,FIND(":",A14,1)-1)</f>
        <v>bitfinex</v>
      </c>
      <c r="D14" s="1" t="str">
        <f>MID(CRYPTOWAT[[#This Row],[Name]],FIND(":",A14,1)+1,100)</f>
        <v>eoseth</v>
      </c>
      <c r="F14" s="14" t="s">
        <v>33</v>
      </c>
      <c r="G14" s="1">
        <v>7.4440999999999993E-2</v>
      </c>
      <c r="H14" s="1"/>
      <c r="I14" s="14" t="s">
        <v>40</v>
      </c>
      <c r="J14" s="1">
        <v>5.5100160000000002E-2</v>
      </c>
    </row>
    <row r="15" spans="1:10">
      <c r="A15" s="1" t="s">
        <v>165</v>
      </c>
      <c r="B15" s="1">
        <v>0.92</v>
      </c>
      <c r="C15" s="1" t="str">
        <f>MID(CRYPTOWAT[[#This Row],[Name]],1,FIND(":",A15,1)-1)</f>
        <v>bitfinex</v>
      </c>
      <c r="D15" s="1" t="str">
        <f>MID(CRYPTOWAT[[#This Row],[Name]],FIND(":",A15,1)+1,100)</f>
        <v>eosusd</v>
      </c>
      <c r="F15" s="14" t="s">
        <v>34</v>
      </c>
      <c r="G15" s="1">
        <v>344</v>
      </c>
      <c r="H15" s="1"/>
      <c r="I15" s="14" t="s">
        <v>41</v>
      </c>
      <c r="J15" s="1">
        <v>18.462</v>
      </c>
    </row>
    <row r="16" spans="1:10">
      <c r="A16" s="1" t="s">
        <v>166</v>
      </c>
      <c r="B16" s="1">
        <v>3.9963999999999998E-3</v>
      </c>
      <c r="C16" s="1" t="str">
        <f>MID(CRYPTOWAT[[#This Row],[Name]],1,FIND(":",A16,1)-1)</f>
        <v>bitfinex</v>
      </c>
      <c r="D16" s="1" t="str">
        <f>MID(CRYPTOWAT[[#This Row],[Name]],FIND(":",A16,1)+1,100)</f>
        <v>etcbtc</v>
      </c>
      <c r="F16" s="14" t="s">
        <v>36</v>
      </c>
      <c r="G16" s="1">
        <v>2.0939999999999999E-4</v>
      </c>
      <c r="H16" s="1"/>
      <c r="I16" s="14" t="s">
        <v>42</v>
      </c>
      <c r="J16" s="1">
        <v>7.2386880000000001E-2</v>
      </c>
    </row>
    <row r="17" spans="1:10">
      <c r="A17" s="1" t="s">
        <v>167</v>
      </c>
      <c r="B17" s="1">
        <v>18.29</v>
      </c>
      <c r="C17" s="1" t="str">
        <f>MID(CRYPTOWAT[[#This Row],[Name]],1,FIND(":",A17,1)-1)</f>
        <v>bitfinex</v>
      </c>
      <c r="D17" s="1" t="str">
        <f>MID(CRYPTOWAT[[#This Row],[Name]],FIND(":",A17,1)+1,100)</f>
        <v>etcusd</v>
      </c>
      <c r="F17" s="14" t="s">
        <v>37</v>
      </c>
      <c r="G17" s="1">
        <v>2.9069999999999999E-3</v>
      </c>
      <c r="H17" s="1"/>
      <c r="I17" s="14" t="s">
        <v>43</v>
      </c>
      <c r="J17" s="1">
        <v>333.8</v>
      </c>
    </row>
    <row r="18" spans="1:10">
      <c r="A18" s="1" t="s">
        <v>168</v>
      </c>
      <c r="B18" s="1">
        <v>7.2090000000000001E-2</v>
      </c>
      <c r="C18" s="1" t="str">
        <f>MID(CRYPTOWAT[[#This Row],[Name]],1,FIND(":",A18,1)-1)</f>
        <v>bitfinex</v>
      </c>
      <c r="D18" s="1" t="str">
        <f>MID(CRYPTOWAT[[#This Row],[Name]],FIND(":",A18,1)+1,100)</f>
        <v>ethbtc</v>
      </c>
      <c r="F18" s="14" t="s">
        <v>38</v>
      </c>
      <c r="G18" s="1">
        <v>0.96650000000000003</v>
      </c>
      <c r="H18" s="1"/>
      <c r="I18" s="14" t="s">
        <v>44</v>
      </c>
      <c r="J18" s="1">
        <v>5.7263499999999998E-3</v>
      </c>
    </row>
    <row r="19" spans="1:10">
      <c r="A19" s="1" t="s">
        <v>169</v>
      </c>
      <c r="B19" s="1">
        <v>330.29</v>
      </c>
      <c r="C19" s="1" t="str">
        <f>MID(CRYPTOWAT[[#This Row],[Name]],1,FIND(":",A19,1)-1)</f>
        <v>bitfinex</v>
      </c>
      <c r="D19" s="1" t="str">
        <f>MID(CRYPTOWAT[[#This Row],[Name]],FIND(":",A19,1)+1,100)</f>
        <v>ethusd</v>
      </c>
      <c r="F19" s="14" t="s">
        <v>39</v>
      </c>
      <c r="G19" s="1">
        <v>3.9947999999999997E-3</v>
      </c>
      <c r="H19" s="1"/>
      <c r="I19" s="14" t="s">
        <v>45</v>
      </c>
      <c r="J19" s="1">
        <v>3.3679279999999999E-2</v>
      </c>
    </row>
    <row r="20" spans="1:10">
      <c r="A20" s="1" t="s">
        <v>170</v>
      </c>
      <c r="B20" s="1">
        <v>1.4268000000000001E-4</v>
      </c>
      <c r="C20" s="1" t="str">
        <f>MID(CRYPTOWAT[[#This Row],[Name]],1,FIND(":",A20,1)-1)</f>
        <v>bitfinex</v>
      </c>
      <c r="D20" s="1" t="str">
        <f>MID(CRYPTOWAT[[#This Row],[Name]],FIND(":",A20,1)+1,100)</f>
        <v>iotbtc</v>
      </c>
      <c r="F20" s="14" t="s">
        <v>41</v>
      </c>
      <c r="G20" s="1">
        <v>18.367999999999999</v>
      </c>
      <c r="H20" s="1"/>
      <c r="I20" s="14" t="s">
        <v>46</v>
      </c>
      <c r="J20" s="1">
        <v>0.46608432999999999</v>
      </c>
    </row>
    <row r="21" spans="1:10">
      <c r="A21" s="1" t="s">
        <v>171</v>
      </c>
      <c r="B21" s="1">
        <v>1.9780000000000002E-3</v>
      </c>
      <c r="C21" s="1" t="str">
        <f>MID(CRYPTOWAT[[#This Row],[Name]],1,FIND(":",A21,1)-1)</f>
        <v>bitfinex</v>
      </c>
      <c r="D21" s="1" t="str">
        <f>MID(CRYPTOWAT[[#This Row],[Name]],FIND(":",A21,1)+1,100)</f>
        <v>ioteth</v>
      </c>
      <c r="F21" s="14" t="s">
        <v>42</v>
      </c>
      <c r="G21" s="1">
        <v>7.2500999999999996E-2</v>
      </c>
      <c r="H21" s="1"/>
      <c r="I21" s="14" t="s">
        <v>47</v>
      </c>
      <c r="J21" s="1">
        <v>8.9389999999999996E-5</v>
      </c>
    </row>
    <row r="22" spans="1:10">
      <c r="A22" s="1" t="s">
        <v>172</v>
      </c>
      <c r="B22" s="1">
        <v>0.65625999999999995</v>
      </c>
      <c r="C22" s="1" t="str">
        <f>MID(CRYPTOWAT[[#This Row],[Name]],1,FIND(":",A22,1)-1)</f>
        <v>bitfinex</v>
      </c>
      <c r="D22" s="1" t="str">
        <f>MID(CRYPTOWAT[[#This Row],[Name]],FIND(":",A22,1)+1,100)</f>
        <v>iotusd</v>
      </c>
      <c r="F22" s="14" t="s">
        <v>43</v>
      </c>
      <c r="G22" s="1">
        <v>333.37</v>
      </c>
      <c r="H22" s="1"/>
      <c r="I22" s="14" t="s">
        <v>51</v>
      </c>
      <c r="J22" s="1">
        <v>1.59307E-3</v>
      </c>
    </row>
    <row r="23" spans="1:10">
      <c r="A23" s="1" t="s">
        <v>173</v>
      </c>
      <c r="B23" s="1">
        <v>1.7382999999999999E-2</v>
      </c>
      <c r="C23" s="1" t="str">
        <f>MID(CRYPTOWAT[[#This Row],[Name]],1,FIND(":",A23,1)-1)</f>
        <v>bitfinex</v>
      </c>
      <c r="D23" s="1" t="str">
        <f>MID(CRYPTOWAT[[#This Row],[Name]],FIND(":",A23,1)+1,100)</f>
        <v>ltcbtc</v>
      </c>
      <c r="F23" s="14" t="s">
        <v>48</v>
      </c>
      <c r="G23" s="1">
        <v>1.4009999999999999E-4</v>
      </c>
      <c r="H23" s="1"/>
      <c r="I23" s="14" t="s">
        <v>52</v>
      </c>
      <c r="J23" s="1">
        <v>2.2007140000000001E-2</v>
      </c>
    </row>
    <row r="24" spans="1:10">
      <c r="A24" s="1" t="s">
        <v>174</v>
      </c>
      <c r="B24" s="1">
        <v>79.977000000000004</v>
      </c>
      <c r="C24" s="1" t="str">
        <f>MID(CRYPTOWAT[[#This Row],[Name]],1,FIND(":",A24,1)-1)</f>
        <v>bitfinex</v>
      </c>
      <c r="D24" s="1" t="str">
        <f>MID(CRYPTOWAT[[#This Row],[Name]],FIND(":",A24,1)+1,100)</f>
        <v>ltcusd</v>
      </c>
      <c r="F24" s="14" t="s">
        <v>49</v>
      </c>
      <c r="G24" s="1">
        <v>1.9469000000000001E-3</v>
      </c>
      <c r="H24" s="1"/>
      <c r="I24" s="14" t="s">
        <v>53</v>
      </c>
      <c r="J24" s="1">
        <v>1.7471270000000001E-2</v>
      </c>
    </row>
    <row r="25" spans="1:10">
      <c r="A25" s="1" t="s">
        <v>1245</v>
      </c>
      <c r="B25" s="1">
        <v>6.6185000000000003E-3</v>
      </c>
      <c r="C25" s="1" t="str">
        <f>MID(CRYPTOWAT[[#This Row],[Name]],1,FIND(":",A25,1)-1)</f>
        <v>bitfinex</v>
      </c>
      <c r="D25" s="1" t="str">
        <f>MID(CRYPTOWAT[[#This Row],[Name]],FIND(":",A25,1)+1,100)</f>
        <v>neobtc</v>
      </c>
      <c r="F25" s="14" t="s">
        <v>50</v>
      </c>
      <c r="G25" s="1">
        <v>0.64824000000000004</v>
      </c>
      <c r="H25" s="1"/>
      <c r="I25" s="14" t="s">
        <v>54</v>
      </c>
      <c r="J25" s="1">
        <v>80.862849999999995</v>
      </c>
    </row>
    <row r="26" spans="1:10">
      <c r="A26" s="1" t="s">
        <v>1246</v>
      </c>
      <c r="B26" s="1">
        <v>9.2955999999999997E-2</v>
      </c>
      <c r="C26" s="1" t="str">
        <f>MID(CRYPTOWAT[[#This Row],[Name]],1,FIND(":",A26,1)-1)</f>
        <v>bitfinex</v>
      </c>
      <c r="D26" s="1" t="str">
        <f>MID(CRYPTOWAT[[#This Row],[Name]],FIND(":",A26,1)+1,100)</f>
        <v>neoeth</v>
      </c>
      <c r="F26" s="14" t="s">
        <v>53</v>
      </c>
      <c r="G26" s="1">
        <v>1.7496999999999999E-2</v>
      </c>
      <c r="H26" s="1"/>
      <c r="I26" s="14" t="s">
        <v>55</v>
      </c>
      <c r="J26" s="1">
        <v>0.67195470000000002</v>
      </c>
    </row>
    <row r="27" spans="1:10">
      <c r="A27" s="1" t="s">
        <v>1247</v>
      </c>
      <c r="B27" s="1">
        <v>30.638000000000002</v>
      </c>
      <c r="C27" s="1" t="str">
        <f>MID(CRYPTOWAT[[#This Row],[Name]],1,FIND(":",A27,1)-1)</f>
        <v>bitfinex</v>
      </c>
      <c r="D27" s="1" t="str">
        <f>MID(CRYPTOWAT[[#This Row],[Name]],FIND(":",A27,1)+1,100)</f>
        <v>neousd</v>
      </c>
      <c r="F27" s="14" t="s">
        <v>54</v>
      </c>
      <c r="G27" s="1">
        <v>80.459999999999994</v>
      </c>
      <c r="H27" s="1"/>
      <c r="I27" s="14" t="s">
        <v>56</v>
      </c>
      <c r="J27" s="1">
        <v>1.4719000000000001E-4</v>
      </c>
    </row>
    <row r="28" spans="1:10">
      <c r="A28" s="1" t="s">
        <v>175</v>
      </c>
      <c r="B28" s="1">
        <v>2.8078000000000001E-3</v>
      </c>
      <c r="C28" s="1" t="str">
        <f>MID(CRYPTOWAT[[#This Row],[Name]],1,FIND(":",A28,1)-1)</f>
        <v>bitfinex</v>
      </c>
      <c r="D28" s="1" t="str">
        <f>MID(CRYPTOWAT[[#This Row],[Name]],FIND(":",A28,1)+1,100)</f>
        <v>omgbtc</v>
      </c>
      <c r="F28" s="14" t="s">
        <v>61</v>
      </c>
      <c r="G28" s="1">
        <v>2.7317000000000001E-3</v>
      </c>
      <c r="H28" s="1"/>
      <c r="I28" s="14" t="s">
        <v>57</v>
      </c>
      <c r="J28" s="1">
        <v>3.3262E-4</v>
      </c>
    </row>
    <row r="29" spans="1:10">
      <c r="A29" s="1" t="s">
        <v>176</v>
      </c>
      <c r="B29" s="1">
        <v>3.9009000000000002E-2</v>
      </c>
      <c r="C29" s="1" t="str">
        <f>MID(CRYPTOWAT[[#This Row],[Name]],1,FIND(":",A29,1)-1)</f>
        <v>bitfinex</v>
      </c>
      <c r="D29" s="1" t="str">
        <f>MID(CRYPTOWAT[[#This Row],[Name]],FIND(":",A29,1)+1,100)</f>
        <v>omgeth</v>
      </c>
      <c r="F29" s="14" t="s">
        <v>62</v>
      </c>
      <c r="G29" s="1">
        <v>3.7925E-2</v>
      </c>
      <c r="H29" s="1"/>
      <c r="I29" s="14" t="s">
        <v>58</v>
      </c>
      <c r="J29" s="1">
        <v>2.3439999999999999E-5</v>
      </c>
    </row>
    <row r="30" spans="1:10">
      <c r="A30" s="1" t="s">
        <v>177</v>
      </c>
      <c r="B30" s="1">
        <v>12.849</v>
      </c>
      <c r="C30" s="1" t="str">
        <f>MID(CRYPTOWAT[[#This Row],[Name]],1,FIND(":",A30,1)-1)</f>
        <v>bitfinex</v>
      </c>
      <c r="D30" s="1" t="str">
        <f>MID(CRYPTOWAT[[#This Row],[Name]],FIND(":",A30,1)+1,100)</f>
        <v>omgusd</v>
      </c>
      <c r="F30" s="14" t="s">
        <v>63</v>
      </c>
      <c r="G30" s="1">
        <v>12.529</v>
      </c>
      <c r="H30" s="1"/>
      <c r="I30" s="14" t="s">
        <v>59</v>
      </c>
      <c r="J30" s="1">
        <v>0.10854585</v>
      </c>
    </row>
    <row r="31" spans="1:10">
      <c r="A31" s="1" t="s">
        <v>178</v>
      </c>
      <c r="B31" s="1">
        <v>2.6669000000000002E-2</v>
      </c>
      <c r="C31" s="1" t="str">
        <f>MID(CRYPTOWAT[[#This Row],[Name]],1,FIND(":",A31,1)-1)</f>
        <v>bitfinex</v>
      </c>
      <c r="D31" s="1" t="str">
        <f>MID(CRYPTOWAT[[#This Row],[Name]],FIND(":",A31,1)+1,100)</f>
        <v>xmrbtc</v>
      </c>
      <c r="F31" s="14" t="s">
        <v>71</v>
      </c>
      <c r="G31" s="1">
        <v>2.5906999999999999E-2</v>
      </c>
      <c r="H31" s="1"/>
      <c r="I31" s="14" t="s">
        <v>60</v>
      </c>
      <c r="J31" s="1">
        <v>9.1498999999999997E-4</v>
      </c>
    </row>
    <row r="32" spans="1:10">
      <c r="A32" s="1" t="s">
        <v>179</v>
      </c>
      <c r="B32" s="1">
        <v>121.6</v>
      </c>
      <c r="C32" s="1" t="str">
        <f>MID(CRYPTOWAT[[#This Row],[Name]],1,FIND(":",A32,1)-1)</f>
        <v>bitfinex</v>
      </c>
      <c r="D32" s="1" t="str">
        <f>MID(CRYPTOWAT[[#This Row],[Name]],FIND(":",A32,1)+1,100)</f>
        <v>xmrusd</v>
      </c>
      <c r="F32" s="14" t="s">
        <v>72</v>
      </c>
      <c r="G32" s="1">
        <v>119.3</v>
      </c>
      <c r="H32" s="1"/>
      <c r="I32" s="14" t="s">
        <v>64</v>
      </c>
      <c r="J32" s="1">
        <v>5.0984300000000001E-3</v>
      </c>
    </row>
    <row r="33" spans="1:10">
      <c r="A33" s="1" t="s">
        <v>180</v>
      </c>
      <c r="B33" s="1">
        <v>4.9329999999999997E-5</v>
      </c>
      <c r="C33" s="1" t="str">
        <f>MID(CRYPTOWAT[[#This Row],[Name]],1,FIND(":",A33,1)-1)</f>
        <v>bitfinex</v>
      </c>
      <c r="D33" s="1" t="str">
        <f>MID(CRYPTOWAT[[#This Row],[Name]],FIND(":",A33,1)+1,100)</f>
        <v>xrpbtc</v>
      </c>
      <c r="F33" s="14" t="s">
        <v>73</v>
      </c>
      <c r="G33" s="1">
        <v>4.9499999999999997E-5</v>
      </c>
      <c r="H33" s="1"/>
      <c r="I33" s="14" t="s">
        <v>65</v>
      </c>
      <c r="J33" s="1">
        <v>6.9500019999999996E-2</v>
      </c>
    </row>
    <row r="34" spans="1:10">
      <c r="A34" s="1" t="s">
        <v>181</v>
      </c>
      <c r="B34" s="1">
        <v>0.22500000000000001</v>
      </c>
      <c r="C34" s="1" t="str">
        <f>MID(CRYPTOWAT[[#This Row],[Name]],1,FIND(":",A34,1)-1)</f>
        <v>bitfinex</v>
      </c>
      <c r="D34" s="1" t="str">
        <f>MID(CRYPTOWAT[[#This Row],[Name]],FIND(":",A34,1)+1,100)</f>
        <v>xrpusd</v>
      </c>
      <c r="F34" s="14" t="s">
        <v>74</v>
      </c>
      <c r="G34" s="1">
        <v>0.22789999999999999</v>
      </c>
      <c r="H34" s="1"/>
      <c r="I34" s="14" t="s">
        <v>66</v>
      </c>
      <c r="J34" s="1">
        <v>23.306854000000001</v>
      </c>
    </row>
    <row r="35" spans="1:10">
      <c r="A35" s="1" t="s">
        <v>182</v>
      </c>
      <c r="B35" s="1">
        <v>5.28E-2</v>
      </c>
      <c r="C35" s="1" t="str">
        <f>MID(CRYPTOWAT[[#This Row],[Name]],1,FIND(":",A35,1)-1)</f>
        <v>bitfinex</v>
      </c>
      <c r="D35" s="1" t="str">
        <f>MID(CRYPTOWAT[[#This Row],[Name]],FIND(":",A35,1)+1,100)</f>
        <v>zecbtc</v>
      </c>
      <c r="F35" s="14" t="s">
        <v>75</v>
      </c>
      <c r="G35" s="1">
        <v>5.3298999999999999E-2</v>
      </c>
      <c r="H35" s="1"/>
      <c r="I35" s="14" t="s">
        <v>67</v>
      </c>
      <c r="J35" s="1">
        <v>3.2948999999999999E-4</v>
      </c>
    </row>
    <row r="36" spans="1:10">
      <c r="A36" s="1" t="s">
        <v>183</v>
      </c>
      <c r="B36" s="1">
        <v>241.34</v>
      </c>
      <c r="C36" s="1" t="str">
        <f>MID(CRYPTOWAT[[#This Row],[Name]],1,FIND(":",A36,1)-1)</f>
        <v>bitfinex</v>
      </c>
      <c r="D36" s="1" t="str">
        <f>MID(CRYPTOWAT[[#This Row],[Name]],FIND(":",A36,1)+1,100)</f>
        <v>zecusd</v>
      </c>
      <c r="F36" s="14" t="s">
        <v>77</v>
      </c>
      <c r="G36" s="1">
        <v>245.15</v>
      </c>
      <c r="H36" s="1"/>
      <c r="I36" s="14" t="s">
        <v>68</v>
      </c>
      <c r="J36" s="1">
        <v>1.3270999999999999E-3</v>
      </c>
    </row>
    <row r="37" spans="1:10">
      <c r="A37" s="1" t="s">
        <v>184</v>
      </c>
      <c r="B37" s="1">
        <v>0.15054000000000001</v>
      </c>
      <c r="C37" s="1" t="str">
        <f>MID(CRYPTOWAT[[#This Row],[Name]],1,FIND(":",A37,1)-1)</f>
        <v>bitflyer</v>
      </c>
      <c r="D37" s="1" t="str">
        <f>MID(CRYPTOWAT[[#This Row],[Name]],FIND(":",A37,1)+1,100)</f>
        <v>bchbtc</v>
      </c>
      <c r="F37" s="14" t="s">
        <v>1248</v>
      </c>
      <c r="G37" s="1">
        <v>6.7000000000000002E-3</v>
      </c>
      <c r="I37" s="14" t="s">
        <v>69</v>
      </c>
      <c r="J37" s="1">
        <v>4.42E-6</v>
      </c>
    </row>
    <row r="38" spans="1:10">
      <c r="A38" s="1" t="s">
        <v>185</v>
      </c>
      <c r="B38" s="1">
        <v>512109</v>
      </c>
      <c r="C38" s="1" t="str">
        <f>MID(CRYPTOWAT[[#This Row],[Name]],1,FIND(":",A38,1)-1)</f>
        <v>bitflyer</v>
      </c>
      <c r="D38" s="1" t="str">
        <f>MID(CRYPTOWAT[[#This Row],[Name]],FIND(":",A38,1)+1,100)</f>
        <v>btcfxjpy</v>
      </c>
      <c r="F38" s="14" t="s">
        <v>1249</v>
      </c>
      <c r="G38" s="1">
        <v>9.1955999999999996E-2</v>
      </c>
      <c r="I38" s="14" t="s">
        <v>70</v>
      </c>
      <c r="J38" s="1">
        <v>2.014612E-2</v>
      </c>
    </row>
    <row r="39" spans="1:10">
      <c r="A39" s="1" t="s">
        <v>186</v>
      </c>
      <c r="B39" s="1">
        <v>498090</v>
      </c>
      <c r="C39" s="1" t="str">
        <f>MID(CRYPTOWAT[[#This Row],[Name]],1,FIND(":",A39,1)-1)</f>
        <v>bitflyer</v>
      </c>
      <c r="D39" s="1" t="str">
        <f>MID(CRYPTOWAT[[#This Row],[Name]],FIND(":",A39,1)+1,100)</f>
        <v>btcjpy</v>
      </c>
      <c r="F39" s="14" t="s">
        <v>1250</v>
      </c>
      <c r="G39" s="1">
        <v>30.867000000000001</v>
      </c>
      <c r="I39" s="14" t="s">
        <v>71</v>
      </c>
      <c r="J39" s="1">
        <v>2.5872869999999999E-2</v>
      </c>
    </row>
    <row r="40" spans="1:10">
      <c r="A40" s="1" t="s">
        <v>187</v>
      </c>
      <c r="B40" s="1">
        <v>500001</v>
      </c>
      <c r="C40" s="1" t="str">
        <f>MID(CRYPTOWAT[[#This Row],[Name]],1,FIND(":",A40,1)-1)</f>
        <v>bitflyer</v>
      </c>
      <c r="D40" s="1" t="str">
        <f>MID(CRYPTOWAT[[#This Row],[Name]],FIND(":",A40,1)+1,100)</f>
        <v>btcjpy-biweekly-futures</v>
      </c>
      <c r="I40" s="14" t="s">
        <v>72</v>
      </c>
      <c r="J40" s="1">
        <v>119.861</v>
      </c>
    </row>
    <row r="41" spans="1:10">
      <c r="A41" s="1" t="s">
        <v>188</v>
      </c>
      <c r="B41" s="1">
        <v>498500</v>
      </c>
      <c r="C41" s="1" t="str">
        <f>MID(CRYPTOWAT[[#This Row],[Name]],1,FIND(":",A41,1)-1)</f>
        <v>bitflyer</v>
      </c>
      <c r="D41" s="1" t="str">
        <f>MID(CRYPTOWAT[[#This Row],[Name]],FIND(":",A41,1)+1,100)</f>
        <v>btcjpy-weekly-futures</v>
      </c>
      <c r="I41" s="14" t="s">
        <v>73</v>
      </c>
      <c r="J41" s="1">
        <v>4.935E-5</v>
      </c>
    </row>
    <row r="42" spans="1:10">
      <c r="A42" s="1" t="s">
        <v>189</v>
      </c>
      <c r="B42" s="1">
        <v>7.2480000000000003E-2</v>
      </c>
      <c r="C42" s="1" t="str">
        <f>MID(CRYPTOWAT[[#This Row],[Name]],1,FIND(":",A42,1)-1)</f>
        <v>bitflyer</v>
      </c>
      <c r="D42" s="1" t="str">
        <f>MID(CRYPTOWAT[[#This Row],[Name]],FIND(":",A42,1)+1,100)</f>
        <v>ethbtc</v>
      </c>
      <c r="I42" s="14" t="s">
        <v>74</v>
      </c>
      <c r="J42" s="1">
        <v>0.22785448999999999</v>
      </c>
    </row>
    <row r="43" spans="1:10">
      <c r="A43" s="1" t="s">
        <v>190</v>
      </c>
      <c r="B43" s="1">
        <v>760200</v>
      </c>
      <c r="C43" s="1" t="str">
        <f>MID(CRYPTOWAT[[#This Row],[Name]],1,FIND(":",A43,1)-1)</f>
        <v>bithumb</v>
      </c>
      <c r="D43" s="1" t="str">
        <f>MID(CRYPTOWAT[[#This Row],[Name]],FIND(":",A43,1)+1,100)</f>
        <v>bchkrw</v>
      </c>
      <c r="I43" s="14" t="s">
        <v>75</v>
      </c>
      <c r="J43" s="1">
        <v>5.3139720000000001E-2</v>
      </c>
    </row>
    <row r="44" spans="1:10">
      <c r="A44" s="1" t="s">
        <v>191</v>
      </c>
      <c r="B44" s="1">
        <v>5049000</v>
      </c>
      <c r="C44" s="1" t="str">
        <f>MID(CRYPTOWAT[[#This Row],[Name]],1,FIND(":",A44,1)-1)</f>
        <v>bithumb</v>
      </c>
      <c r="D44" s="1" t="str">
        <f>MID(CRYPTOWAT[[#This Row],[Name]],FIND(":",A44,1)+1,100)</f>
        <v>btckrw</v>
      </c>
      <c r="I44" s="14" t="s">
        <v>76</v>
      </c>
      <c r="J44" s="1">
        <v>0.73460080000000005</v>
      </c>
    </row>
    <row r="45" spans="1:10">
      <c r="A45" s="1" t="s">
        <v>192</v>
      </c>
      <c r="B45" s="1">
        <v>381250</v>
      </c>
      <c r="C45" s="1" t="str">
        <f>MID(CRYPTOWAT[[#This Row],[Name]],1,FIND(":",A45,1)-1)</f>
        <v>bithumb</v>
      </c>
      <c r="D45" s="1" t="str">
        <f>MID(CRYPTOWAT[[#This Row],[Name]],FIND(":",A45,1)+1,100)</f>
        <v>dashkrw</v>
      </c>
      <c r="I45" s="14" t="s">
        <v>77</v>
      </c>
      <c r="J45" s="1">
        <v>245.09868</v>
      </c>
    </row>
    <row r="46" spans="1:10">
      <c r="A46" s="1" t="s">
        <v>193</v>
      </c>
      <c r="B46" s="1">
        <v>20160</v>
      </c>
      <c r="C46" s="1" t="str">
        <f>MID(CRYPTOWAT[[#This Row],[Name]],1,FIND(":",A46,1)-1)</f>
        <v>bithumb</v>
      </c>
      <c r="D46" s="1" t="str">
        <f>MID(CRYPTOWAT[[#This Row],[Name]],FIND(":",A46,1)+1,100)</f>
        <v>etckrw</v>
      </c>
      <c r="I46" s="14" t="s">
        <v>78</v>
      </c>
      <c r="J46" s="1">
        <v>2.0499953999999998</v>
      </c>
    </row>
    <row r="47" spans="1:10">
      <c r="A47" s="1" t="s">
        <v>194</v>
      </c>
      <c r="B47" s="1">
        <v>362400</v>
      </c>
      <c r="C47" s="1" t="str">
        <f>MID(CRYPTOWAT[[#This Row],[Name]],1,FIND(":",A47,1)-1)</f>
        <v>bithumb</v>
      </c>
      <c r="D47" s="1" t="str">
        <f>MID(CRYPTOWAT[[#This Row],[Name]],FIND(":",A47,1)+1,100)</f>
        <v>ethkrw</v>
      </c>
    </row>
    <row r="48" spans="1:10">
      <c r="A48" s="1" t="s">
        <v>195</v>
      </c>
      <c r="B48" s="1">
        <v>87930</v>
      </c>
      <c r="C48" s="1" t="str">
        <f>MID(CRYPTOWAT[[#This Row],[Name]],1,FIND(":",A48,1)-1)</f>
        <v>bithumb</v>
      </c>
      <c r="D48" s="1" t="str">
        <f>MID(CRYPTOWAT[[#This Row],[Name]],FIND(":",A48,1)+1,100)</f>
        <v>ltckrw</v>
      </c>
    </row>
    <row r="49" spans="1:4">
      <c r="A49" s="1" t="s">
        <v>196</v>
      </c>
      <c r="B49" s="1">
        <v>133990</v>
      </c>
      <c r="C49" s="1" t="str">
        <f>MID(CRYPTOWAT[[#This Row],[Name]],1,FIND(":",A49,1)-1)</f>
        <v>bithumb</v>
      </c>
      <c r="D49" s="1" t="str">
        <f>MID(CRYPTOWAT[[#This Row],[Name]],FIND(":",A49,1)+1,100)</f>
        <v>xmrkrw</v>
      </c>
    </row>
    <row r="50" spans="1:4">
      <c r="A50" s="1" t="s">
        <v>197</v>
      </c>
      <c r="B50" s="1">
        <v>249</v>
      </c>
      <c r="C50" s="1" t="str">
        <f>MID(CRYPTOWAT[[#This Row],[Name]],1,FIND(":",A50,1)-1)</f>
        <v>bithumb</v>
      </c>
      <c r="D50" s="1" t="str">
        <f>MID(CRYPTOWAT[[#This Row],[Name]],FIND(":",A50,1)+1,100)</f>
        <v>xrpkrw</v>
      </c>
    </row>
    <row r="51" spans="1:4">
      <c r="A51" s="1" t="s">
        <v>198</v>
      </c>
      <c r="B51" s="1">
        <v>4571.1000000000004</v>
      </c>
      <c r="C51" s="1" t="str">
        <f>MID(CRYPTOWAT[[#This Row],[Name]],1,FIND(":",A51,1)-1)</f>
        <v>bitmex</v>
      </c>
      <c r="D51" s="1" t="str">
        <f>MID(CRYPTOWAT[[#This Row],[Name]],FIND(":",A51,1)+1,100)</f>
        <v>xbt-monthly-futures</v>
      </c>
    </row>
    <row r="52" spans="1:4">
      <c r="A52" s="1" t="s">
        <v>199</v>
      </c>
      <c r="B52" s="1">
        <v>4586.5</v>
      </c>
      <c r="C52" s="1" t="str">
        <f>MID(CRYPTOWAT[[#This Row],[Name]],1,FIND(":",A52,1)-1)</f>
        <v>bitmex</v>
      </c>
      <c r="D52" s="1" t="str">
        <f>MID(CRYPTOWAT[[#This Row],[Name]],FIND(":",A52,1)+1,100)</f>
        <v>xbt-perpetual-futures</v>
      </c>
    </row>
    <row r="53" spans="1:4">
      <c r="A53" s="1" t="s">
        <v>200</v>
      </c>
      <c r="B53" s="1">
        <v>5440.9306999999999</v>
      </c>
      <c r="C53" s="1" t="str">
        <f>MID(CRYPTOWAT[[#This Row],[Name]],1,FIND(":",A53,1)-1)</f>
        <v>bitsquare</v>
      </c>
      <c r="D53" s="1" t="str">
        <f>MID(CRYPTOWAT[[#This Row],[Name]],FIND(":",A53,1)+1,100)</f>
        <v>btcaud</v>
      </c>
    </row>
    <row r="54" spans="1:4">
      <c r="A54" s="1" t="s">
        <v>201</v>
      </c>
      <c r="B54" s="1">
        <v>3850.4884999999999</v>
      </c>
      <c r="C54" s="1" t="str">
        <f>MID(CRYPTOWAT[[#This Row],[Name]],1,FIND(":",A54,1)-1)</f>
        <v>bitsquare</v>
      </c>
      <c r="D54" s="1" t="str">
        <f>MID(CRYPTOWAT[[#This Row],[Name]],FIND(":",A54,1)+1,100)</f>
        <v>btceur</v>
      </c>
    </row>
    <row r="55" spans="1:4">
      <c r="A55" s="1" t="s">
        <v>202</v>
      </c>
      <c r="B55" s="1">
        <v>4378.6260000000002</v>
      </c>
      <c r="C55" s="1" t="str">
        <f>MID(CRYPTOWAT[[#This Row],[Name]],1,FIND(":",A55,1)-1)</f>
        <v>bitsquare</v>
      </c>
      <c r="D55" s="1" t="str">
        <f>MID(CRYPTOWAT[[#This Row],[Name]],FIND(":",A55,1)+1,100)</f>
        <v>btcusd</v>
      </c>
    </row>
    <row r="56" spans="1:4">
      <c r="A56" s="1" t="s">
        <v>203</v>
      </c>
      <c r="B56" s="1">
        <v>6.7372300000000003E-3</v>
      </c>
      <c r="C56" s="1" t="str">
        <f>MID(CRYPTOWAT[[#This Row],[Name]],1,FIND(":",A56,1)-1)</f>
        <v>bitsquare</v>
      </c>
      <c r="D56" s="1" t="str">
        <f>MID(CRYPTOWAT[[#This Row],[Name]],FIND(":",A56,1)+1,100)</f>
        <v>etcbtc</v>
      </c>
    </row>
    <row r="57" spans="1:4">
      <c r="A57" s="1" t="s">
        <v>204</v>
      </c>
      <c r="B57" s="1">
        <v>7.991695E-2</v>
      </c>
      <c r="C57" s="1" t="str">
        <f>MID(CRYPTOWAT[[#This Row],[Name]],1,FIND(":",A57,1)-1)</f>
        <v>bitsquare</v>
      </c>
      <c r="D57" s="1" t="str">
        <f>MID(CRYPTOWAT[[#This Row],[Name]],FIND(":",A57,1)+1,100)</f>
        <v>ethbtc</v>
      </c>
    </row>
    <row r="58" spans="1:4">
      <c r="A58" s="1" t="s">
        <v>205</v>
      </c>
      <c r="B58" s="1">
        <v>1.2999999999999999E-2</v>
      </c>
      <c r="C58" s="1" t="str">
        <f>MID(CRYPTOWAT[[#This Row],[Name]],1,FIND(":",A58,1)-1)</f>
        <v>bitsquare</v>
      </c>
      <c r="D58" s="1" t="str">
        <f>MID(CRYPTOWAT[[#This Row],[Name]],FIND(":",A58,1)+1,100)</f>
        <v>ltcbtc</v>
      </c>
    </row>
    <row r="59" spans="1:4">
      <c r="A59" s="1" t="s">
        <v>206</v>
      </c>
      <c r="B59" s="1">
        <v>3847.09</v>
      </c>
      <c r="C59" s="1" t="str">
        <f>MID(CRYPTOWAT[[#This Row],[Name]],1,FIND(":",A59,1)-1)</f>
        <v>bitstamp</v>
      </c>
      <c r="D59" s="1" t="str">
        <f>MID(CRYPTOWAT[[#This Row],[Name]],FIND(":",A59,1)+1,100)</f>
        <v>btceur</v>
      </c>
    </row>
    <row r="60" spans="1:4">
      <c r="A60" s="1" t="s">
        <v>207</v>
      </c>
      <c r="B60" s="1">
        <v>4592.2299999999996</v>
      </c>
      <c r="C60" s="1" t="str">
        <f>MID(CRYPTOWAT[[#This Row],[Name]],1,FIND(":",A60,1)-1)</f>
        <v>bitstamp</v>
      </c>
      <c r="D60" s="1" t="str">
        <f>MID(CRYPTOWAT[[#This Row],[Name]],FIND(":",A60,1)+1,100)</f>
        <v>btcusd</v>
      </c>
    </row>
    <row r="61" spans="1:4">
      <c r="A61" s="1" t="s">
        <v>208</v>
      </c>
      <c r="B61" s="1">
        <v>7.213E-2</v>
      </c>
      <c r="C61" s="1" t="str">
        <f>MID(CRYPTOWAT[[#This Row],[Name]],1,FIND(":",A61,1)-1)</f>
        <v>bitstamp</v>
      </c>
      <c r="D61" s="1" t="str">
        <f>MID(CRYPTOWAT[[#This Row],[Name]],FIND(":",A61,1)+1,100)</f>
        <v>ethbtc</v>
      </c>
    </row>
    <row r="62" spans="1:4">
      <c r="A62" s="1" t="s">
        <v>209</v>
      </c>
      <c r="B62" s="1">
        <v>277.57</v>
      </c>
      <c r="C62" s="1" t="str">
        <f>MID(CRYPTOWAT[[#This Row],[Name]],1,FIND(":",A62,1)-1)</f>
        <v>bitstamp</v>
      </c>
      <c r="D62" s="1" t="str">
        <f>MID(CRYPTOWAT[[#This Row],[Name]],FIND(":",A62,1)+1,100)</f>
        <v>etheur</v>
      </c>
    </row>
    <row r="63" spans="1:4">
      <c r="A63" s="1" t="s">
        <v>210</v>
      </c>
      <c r="B63" s="1">
        <v>330.89</v>
      </c>
      <c r="C63" s="1" t="str">
        <f>MID(CRYPTOWAT[[#This Row],[Name]],1,FIND(":",A63,1)-1)</f>
        <v>bitstamp</v>
      </c>
      <c r="D63" s="1" t="str">
        <f>MID(CRYPTOWAT[[#This Row],[Name]],FIND(":",A63,1)+1,100)</f>
        <v>ethusd</v>
      </c>
    </row>
    <row r="64" spans="1:4">
      <c r="A64" s="1" t="s">
        <v>211</v>
      </c>
      <c r="B64" s="1">
        <v>1.19038</v>
      </c>
      <c r="C64" s="1" t="str">
        <f>MID(CRYPTOWAT[[#This Row],[Name]],1,FIND(":",A64,1)-1)</f>
        <v>bitstamp</v>
      </c>
      <c r="D64" s="1" t="str">
        <f>MID(CRYPTOWAT[[#This Row],[Name]],FIND(":",A64,1)+1,100)</f>
        <v>eurusd</v>
      </c>
    </row>
    <row r="65" spans="1:4">
      <c r="A65" s="1" t="s">
        <v>212</v>
      </c>
      <c r="B65" s="1">
        <v>1.7428590000000001E-2</v>
      </c>
      <c r="C65" s="1" t="str">
        <f>MID(CRYPTOWAT[[#This Row],[Name]],1,FIND(":",A65,1)-1)</f>
        <v>bitstamp</v>
      </c>
      <c r="D65" s="1" t="str">
        <f>MID(CRYPTOWAT[[#This Row],[Name]],FIND(":",A65,1)+1,100)</f>
        <v>ltcbtc</v>
      </c>
    </row>
    <row r="66" spans="1:4">
      <c r="A66" s="1" t="s">
        <v>213</v>
      </c>
      <c r="B66" s="1">
        <v>67.25</v>
      </c>
      <c r="C66" s="1" t="str">
        <f>MID(CRYPTOWAT[[#This Row],[Name]],1,FIND(":",A66,1)-1)</f>
        <v>bitstamp</v>
      </c>
      <c r="D66" s="1" t="str">
        <f>MID(CRYPTOWAT[[#This Row],[Name]],FIND(":",A66,1)+1,100)</f>
        <v>ltceur</v>
      </c>
    </row>
    <row r="67" spans="1:4">
      <c r="A67" s="1" t="s">
        <v>214</v>
      </c>
      <c r="B67" s="1">
        <v>79.7</v>
      </c>
      <c r="C67" s="1" t="str">
        <f>MID(CRYPTOWAT[[#This Row],[Name]],1,FIND(":",A67,1)-1)</f>
        <v>bitstamp</v>
      </c>
      <c r="D67" s="1" t="str">
        <f>MID(CRYPTOWAT[[#This Row],[Name]],FIND(":",A67,1)+1,100)</f>
        <v>ltcusd</v>
      </c>
    </row>
    <row r="68" spans="1:4">
      <c r="A68" s="1" t="s">
        <v>215</v>
      </c>
      <c r="B68" s="1">
        <v>4.9289999999999997E-5</v>
      </c>
      <c r="C68" s="1" t="str">
        <f>MID(CRYPTOWAT[[#This Row],[Name]],1,FIND(":",A68,1)-1)</f>
        <v>bitstamp</v>
      </c>
      <c r="D68" s="1" t="str">
        <f>MID(CRYPTOWAT[[#This Row],[Name]],FIND(":",A68,1)+1,100)</f>
        <v>xrpbtc</v>
      </c>
    </row>
    <row r="69" spans="1:4">
      <c r="A69" s="1" t="s">
        <v>216</v>
      </c>
      <c r="B69" s="1">
        <v>0.18987999999999999</v>
      </c>
      <c r="C69" s="1" t="str">
        <f>MID(CRYPTOWAT[[#This Row],[Name]],1,FIND(":",A69,1)-1)</f>
        <v>bitstamp</v>
      </c>
      <c r="D69" s="1" t="str">
        <f>MID(CRYPTOWAT[[#This Row],[Name]],FIND(":",A69,1)+1,100)</f>
        <v>xrpeur</v>
      </c>
    </row>
    <row r="70" spans="1:4">
      <c r="A70" s="1" t="s">
        <v>217</v>
      </c>
      <c r="B70" s="1">
        <v>0.22569</v>
      </c>
      <c r="C70" s="1" t="str">
        <f>MID(CRYPTOWAT[[#This Row],[Name]],1,FIND(":",A70,1)-1)</f>
        <v>bitstamp</v>
      </c>
      <c r="D70" s="1" t="str">
        <f>MID(CRYPTOWAT[[#This Row],[Name]],FIND(":",A70,1)+1,100)</f>
        <v>xrpusd</v>
      </c>
    </row>
    <row r="71" spans="1:4">
      <c r="A71" s="1" t="s">
        <v>218</v>
      </c>
      <c r="B71" s="1">
        <v>30050</v>
      </c>
      <c r="C71" s="1" t="str">
        <f>MID(CRYPTOWAT[[#This Row],[Name]],1,FIND(":",A71,1)-1)</f>
        <v>bitvc</v>
      </c>
      <c r="D71" s="1" t="str">
        <f>MID(CRYPTOWAT[[#This Row],[Name]],FIND(":",A71,1)+1,100)</f>
        <v>btccny-quarterly-futures</v>
      </c>
    </row>
    <row r="72" spans="1:4">
      <c r="A72" s="1" t="s">
        <v>219</v>
      </c>
      <c r="B72" s="1">
        <v>30050</v>
      </c>
      <c r="C72" s="1" t="str">
        <f>MID(CRYPTOWAT[[#This Row],[Name]],1,FIND(":",A72,1)-1)</f>
        <v>bitvc</v>
      </c>
      <c r="D72" s="1" t="str">
        <f>MID(CRYPTOWAT[[#This Row],[Name]],FIND(":",A72,1)+1,100)</f>
        <v>btccny-weekly-futures</v>
      </c>
    </row>
    <row r="73" spans="1:4">
      <c r="A73" s="1" t="s">
        <v>220</v>
      </c>
      <c r="B73" s="1">
        <v>410.53</v>
      </c>
      <c r="C73" s="1" t="str">
        <f>MID(CRYPTOWAT[[#This Row],[Name]],1,FIND(":",A73,1)-1)</f>
        <v>bitvc</v>
      </c>
      <c r="D73" s="1" t="str">
        <f>MID(CRYPTOWAT[[#This Row],[Name]],FIND(":",A73,1)+1,100)</f>
        <v>ltccny-quarterly-futures</v>
      </c>
    </row>
    <row r="74" spans="1:4">
      <c r="A74" s="1" t="s">
        <v>221</v>
      </c>
      <c r="B74" s="1">
        <v>410.53</v>
      </c>
      <c r="C74" s="1" t="str">
        <f>MID(CRYPTOWAT[[#This Row],[Name]],1,FIND(":",A74,1)-1)</f>
        <v>bitvc</v>
      </c>
      <c r="D74" s="1" t="str">
        <f>MID(CRYPTOWAT[[#This Row],[Name]],FIND(":",A74,1)+1,100)</f>
        <v>ltccny-weekly-futures</v>
      </c>
    </row>
    <row r="75" spans="1:4">
      <c r="A75" s="1" t="s">
        <v>222</v>
      </c>
      <c r="B75" s="1">
        <v>28699.98</v>
      </c>
      <c r="C75" s="1" t="str">
        <f>MID(CRYPTOWAT[[#This Row],[Name]],1,FIND(":",A75,1)-1)</f>
        <v>btc-china</v>
      </c>
      <c r="D75" s="1" t="str">
        <f>MID(CRYPTOWAT[[#This Row],[Name]],FIND(":",A75,1)+1,100)</f>
        <v>btccny</v>
      </c>
    </row>
    <row r="76" spans="1:4">
      <c r="A76" s="1" t="s">
        <v>223</v>
      </c>
      <c r="B76" s="1">
        <v>1.7500000000000002E-2</v>
      </c>
      <c r="C76" s="1" t="str">
        <f>MID(CRYPTOWAT[[#This Row],[Name]],1,FIND(":",A76,1)-1)</f>
        <v>btc-china</v>
      </c>
      <c r="D76" s="1" t="str">
        <f>MID(CRYPTOWAT[[#This Row],[Name]],FIND(":",A76,1)+1,100)</f>
        <v>ltcbtc</v>
      </c>
    </row>
    <row r="77" spans="1:4">
      <c r="A77" s="1" t="s">
        <v>224</v>
      </c>
      <c r="B77" s="1">
        <v>496.51</v>
      </c>
      <c r="C77" s="1" t="str">
        <f>MID(CRYPTOWAT[[#This Row],[Name]],1,FIND(":",A77,1)-1)</f>
        <v>btc-china</v>
      </c>
      <c r="D77" s="1" t="str">
        <f>MID(CRYPTOWAT[[#This Row],[Name]],FIND(":",A77,1)+1,100)</f>
        <v>ltccny</v>
      </c>
    </row>
    <row r="78" spans="1:4">
      <c r="A78" s="1" t="s">
        <v>225</v>
      </c>
      <c r="B78" s="1">
        <v>712.87480000000005</v>
      </c>
      <c r="C78" s="1" t="str">
        <f>MID(CRYPTOWAT[[#This Row],[Name]],1,FIND(":",A78,1)-1)</f>
        <v>cexio</v>
      </c>
      <c r="D78" s="1" t="str">
        <f>MID(CRYPTOWAT[[#This Row],[Name]],FIND(":",A78,1)+1,100)</f>
        <v>bchusd</v>
      </c>
    </row>
    <row r="79" spans="1:4">
      <c r="A79" s="1" t="s">
        <v>226</v>
      </c>
      <c r="B79" s="1">
        <v>3953.7595000000001</v>
      </c>
      <c r="C79" s="1" t="str">
        <f>MID(CRYPTOWAT[[#This Row],[Name]],1,FIND(":",A79,1)-1)</f>
        <v>cexio</v>
      </c>
      <c r="D79" s="1" t="str">
        <f>MID(CRYPTOWAT[[#This Row],[Name]],FIND(":",A79,1)+1,100)</f>
        <v>btceur</v>
      </c>
    </row>
    <row r="80" spans="1:4">
      <c r="A80" s="1" t="s">
        <v>227</v>
      </c>
      <c r="B80" s="1">
        <v>4762.8100000000004</v>
      </c>
      <c r="C80" s="1" t="str">
        <f>MID(CRYPTOWAT[[#This Row],[Name]],1,FIND(":",A80,1)-1)</f>
        <v>cexio</v>
      </c>
      <c r="D80" s="1" t="str">
        <f>MID(CRYPTOWAT[[#This Row],[Name]],FIND(":",A80,1)+1,100)</f>
        <v>btcusd</v>
      </c>
    </row>
    <row r="81" spans="1:4">
      <c r="A81" s="1" t="s">
        <v>228</v>
      </c>
      <c r="B81" s="1">
        <v>7.2210999999999997E-2</v>
      </c>
      <c r="C81" s="1" t="str">
        <f>MID(CRYPTOWAT[[#This Row],[Name]],1,FIND(":",A81,1)-1)</f>
        <v>cexio</v>
      </c>
      <c r="D81" s="1" t="str">
        <f>MID(CRYPTOWAT[[#This Row],[Name]],FIND(":",A81,1)+1,100)</f>
        <v>ethbtc</v>
      </c>
    </row>
    <row r="82" spans="1:4">
      <c r="A82" s="1" t="s">
        <v>229</v>
      </c>
      <c r="B82" s="1">
        <v>4.4989100000000001E-3</v>
      </c>
      <c r="C82" s="1" t="str">
        <f>MID(CRYPTOWAT[[#This Row],[Name]],1,FIND(":",A82,1)-1)</f>
        <v>cexio</v>
      </c>
      <c r="D82" s="1" t="str">
        <f>MID(CRYPTOWAT[[#This Row],[Name]],FIND(":",A82,1)+1,100)</f>
        <v>ltcbtc</v>
      </c>
    </row>
    <row r="83" spans="1:4">
      <c r="A83" s="1" t="s">
        <v>230</v>
      </c>
      <c r="B83" s="1">
        <v>4.37</v>
      </c>
      <c r="C83" s="1" t="str">
        <f>MID(CRYPTOWAT[[#This Row],[Name]],1,FIND(":",A83,1)-1)</f>
        <v>cexio</v>
      </c>
      <c r="D83" s="1" t="str">
        <f>MID(CRYPTOWAT[[#This Row],[Name]],FIND(":",A83,1)+1,100)</f>
        <v>ltcusd</v>
      </c>
    </row>
    <row r="84" spans="1:4">
      <c r="A84" s="1" t="s">
        <v>231</v>
      </c>
      <c r="B84" s="1">
        <v>3842.11</v>
      </c>
      <c r="C84" s="1" t="str">
        <f>MID(CRYPTOWAT[[#This Row],[Name]],1,FIND(":",A84,1)-1)</f>
        <v>gdax</v>
      </c>
      <c r="D84" s="1" t="str">
        <f>MID(CRYPTOWAT[[#This Row],[Name]],FIND(":",A84,1)+1,100)</f>
        <v>btceur</v>
      </c>
    </row>
    <row r="85" spans="1:4">
      <c r="A85" s="1" t="s">
        <v>232</v>
      </c>
      <c r="B85" s="1">
        <v>3528.01</v>
      </c>
      <c r="C85" s="1" t="str">
        <f>MID(CRYPTOWAT[[#This Row],[Name]],1,FIND(":",A85,1)-1)</f>
        <v>gdax</v>
      </c>
      <c r="D85" s="1" t="str">
        <f>MID(CRYPTOWAT[[#This Row],[Name]],FIND(":",A85,1)+1,100)</f>
        <v>btcgbp</v>
      </c>
    </row>
    <row r="86" spans="1:4">
      <c r="A86" s="1" t="s">
        <v>233</v>
      </c>
      <c r="B86" s="1">
        <v>4600</v>
      </c>
      <c r="C86" s="1" t="str">
        <f>MID(CRYPTOWAT[[#This Row],[Name]],1,FIND(":",A86,1)-1)</f>
        <v>gdax</v>
      </c>
      <c r="D86" s="1" t="str">
        <f>MID(CRYPTOWAT[[#This Row],[Name]],FIND(":",A86,1)+1,100)</f>
        <v>btcusd</v>
      </c>
    </row>
    <row r="87" spans="1:4">
      <c r="A87" s="1" t="s">
        <v>234</v>
      </c>
      <c r="B87" s="1">
        <v>7.2190000000000004E-2</v>
      </c>
      <c r="C87" s="1" t="str">
        <f>MID(CRYPTOWAT[[#This Row],[Name]],1,FIND(":",A87,1)-1)</f>
        <v>gdax</v>
      </c>
      <c r="D87" s="1" t="str">
        <f>MID(CRYPTOWAT[[#This Row],[Name]],FIND(":",A87,1)+1,100)</f>
        <v>ethbtc</v>
      </c>
    </row>
    <row r="88" spans="1:4">
      <c r="A88" s="1" t="s">
        <v>235</v>
      </c>
      <c r="B88" s="1">
        <v>277.39999999999998</v>
      </c>
      <c r="C88" s="1" t="str">
        <f>MID(CRYPTOWAT[[#This Row],[Name]],1,FIND(":",A88,1)-1)</f>
        <v>gdax</v>
      </c>
      <c r="D88" s="1" t="str">
        <f>MID(CRYPTOWAT[[#This Row],[Name]],FIND(":",A88,1)+1,100)</f>
        <v>etheur</v>
      </c>
    </row>
    <row r="89" spans="1:4">
      <c r="A89" s="1" t="s">
        <v>236</v>
      </c>
      <c r="B89" s="1">
        <v>331.71</v>
      </c>
      <c r="C89" s="1" t="str">
        <f>MID(CRYPTOWAT[[#This Row],[Name]],1,FIND(":",A89,1)-1)</f>
        <v>gdax</v>
      </c>
      <c r="D89" s="1" t="str">
        <f>MID(CRYPTOWAT[[#This Row],[Name]],FIND(":",A89,1)+1,100)</f>
        <v>ethusd</v>
      </c>
    </row>
    <row r="90" spans="1:4">
      <c r="A90" s="1" t="s">
        <v>237</v>
      </c>
      <c r="B90" s="1">
        <v>1.7440000000000001E-2</v>
      </c>
      <c r="C90" s="1" t="str">
        <f>MID(CRYPTOWAT[[#This Row],[Name]],1,FIND(":",A90,1)-1)</f>
        <v>gdax</v>
      </c>
      <c r="D90" s="1" t="str">
        <f>MID(CRYPTOWAT[[#This Row],[Name]],FIND(":",A90,1)+1,100)</f>
        <v>ltcbtc</v>
      </c>
    </row>
    <row r="91" spans="1:4">
      <c r="A91" s="1" t="s">
        <v>238</v>
      </c>
      <c r="B91" s="1">
        <v>66.84</v>
      </c>
      <c r="C91" s="1" t="str">
        <f>MID(CRYPTOWAT[[#This Row],[Name]],1,FIND(":",A91,1)-1)</f>
        <v>gdax</v>
      </c>
      <c r="D91" s="1" t="str">
        <f>MID(CRYPTOWAT[[#This Row],[Name]],FIND(":",A91,1)+1,100)</f>
        <v>ltceur</v>
      </c>
    </row>
    <row r="92" spans="1:4">
      <c r="A92" s="1" t="s">
        <v>239</v>
      </c>
      <c r="B92" s="1">
        <v>80.180000000000007</v>
      </c>
      <c r="C92" s="1" t="str">
        <f>MID(CRYPTOWAT[[#This Row],[Name]],1,FIND(":",A92,1)-1)</f>
        <v>gdax</v>
      </c>
      <c r="D92" s="1" t="str">
        <f>MID(CRYPTOWAT[[#This Row],[Name]],FIND(":",A92,1)+1,100)</f>
        <v>ltcusd</v>
      </c>
    </row>
    <row r="93" spans="1:4">
      <c r="A93" s="1" t="s">
        <v>240</v>
      </c>
      <c r="B93" s="1">
        <v>4594.9399999999996</v>
      </c>
      <c r="C93" s="1" t="str">
        <f>MID(CRYPTOWAT[[#This Row],[Name]],1,FIND(":",A93,1)-1)</f>
        <v>gemini</v>
      </c>
      <c r="D93" s="1" t="str">
        <f>MID(CRYPTOWAT[[#This Row],[Name]],FIND(":",A93,1)+1,100)</f>
        <v>btcusd</v>
      </c>
    </row>
    <row r="94" spans="1:4">
      <c r="A94" s="1" t="s">
        <v>241</v>
      </c>
      <c r="B94" s="1">
        <v>7.2150000000000006E-2</v>
      </c>
      <c r="C94" s="1" t="str">
        <f>MID(CRYPTOWAT[[#This Row],[Name]],1,FIND(":",A94,1)-1)</f>
        <v>gemini</v>
      </c>
      <c r="D94" s="1" t="str">
        <f>MID(CRYPTOWAT[[#This Row],[Name]],FIND(":",A94,1)+1,100)</f>
        <v>ethbtc</v>
      </c>
    </row>
    <row r="95" spans="1:4">
      <c r="A95" s="1" t="s">
        <v>242</v>
      </c>
      <c r="B95" s="1">
        <v>331.73</v>
      </c>
      <c r="C95" s="1" t="str">
        <f>MID(CRYPTOWAT[[#This Row],[Name]],1,FIND(":",A95,1)-1)</f>
        <v>gemini</v>
      </c>
      <c r="D95" s="1" t="str">
        <f>MID(CRYPTOWAT[[#This Row],[Name]],FIND(":",A95,1)+1,100)</f>
        <v>ethusd</v>
      </c>
    </row>
    <row r="96" spans="1:4">
      <c r="A96" s="1" t="s">
        <v>243</v>
      </c>
      <c r="B96" s="1">
        <v>28662</v>
      </c>
      <c r="C96" s="1" t="str">
        <f>MID(CRYPTOWAT[[#This Row],[Name]],1,FIND(":",A96,1)-1)</f>
        <v>huobi</v>
      </c>
      <c r="D96" s="1" t="str">
        <f>MID(CRYPTOWAT[[#This Row],[Name]],FIND(":",A96,1)+1,100)</f>
        <v>btccny</v>
      </c>
    </row>
    <row r="97" spans="1:4">
      <c r="A97" s="1" t="s">
        <v>244</v>
      </c>
      <c r="B97" s="1">
        <v>496.95</v>
      </c>
      <c r="C97" s="1" t="str">
        <f>MID(CRYPTOWAT[[#This Row],[Name]],1,FIND(":",A97,1)-1)</f>
        <v>huobi</v>
      </c>
      <c r="D97" s="1" t="str">
        <f>MID(CRYPTOWAT[[#This Row],[Name]],FIND(":",A97,1)+1,100)</f>
        <v>ltccny</v>
      </c>
    </row>
    <row r="98" spans="1:4">
      <c r="A98" s="1" t="s">
        <v>245</v>
      </c>
      <c r="B98" s="1">
        <v>0.14957000000000001</v>
      </c>
      <c r="C98" s="1" t="str">
        <f>MID(CRYPTOWAT[[#This Row],[Name]],1,FIND(":",A98,1)-1)</f>
        <v>kraken</v>
      </c>
      <c r="D98" s="1" t="str">
        <f>MID(CRYPTOWAT[[#This Row],[Name]],FIND(":",A98,1)+1,100)</f>
        <v>bchbtc</v>
      </c>
    </row>
    <row r="99" spans="1:4">
      <c r="A99" s="1" t="s">
        <v>246</v>
      </c>
      <c r="B99" s="1">
        <v>569.20000000000005</v>
      </c>
      <c r="C99" s="1" t="str">
        <f>MID(CRYPTOWAT[[#This Row],[Name]],1,FIND(":",A99,1)-1)</f>
        <v>kraken</v>
      </c>
      <c r="D99" s="1" t="str">
        <f>MID(CRYPTOWAT[[#This Row],[Name]],FIND(":",A99,1)+1,100)</f>
        <v>bcheur</v>
      </c>
    </row>
    <row r="100" spans="1:4">
      <c r="A100" s="1" t="s">
        <v>247</v>
      </c>
      <c r="B100" s="1">
        <v>689.1</v>
      </c>
      <c r="C100" s="1" t="str">
        <f>MID(CRYPTOWAT[[#This Row],[Name]],1,FIND(":",A100,1)-1)</f>
        <v>kraken</v>
      </c>
      <c r="D100" s="1" t="str">
        <f>MID(CRYPTOWAT[[#This Row],[Name]],FIND(":",A100,1)+1,100)</f>
        <v>bchusd</v>
      </c>
    </row>
    <row r="101" spans="1:4">
      <c r="A101" t="s">
        <v>248</v>
      </c>
      <c r="B101" s="1">
        <v>5799.9</v>
      </c>
      <c r="C101" s="1" t="str">
        <f>MID(CRYPTOWAT[[#This Row],[Name]],1,FIND(":",A101,1)-1)</f>
        <v>kraken</v>
      </c>
      <c r="D101" s="1" t="str">
        <f>MID(CRYPTOWAT[[#This Row],[Name]],FIND(":",A101,1)+1,100)</f>
        <v>btccad</v>
      </c>
    </row>
    <row r="102" spans="1:4">
      <c r="A102" t="s">
        <v>249</v>
      </c>
      <c r="B102" s="1">
        <v>3852.4</v>
      </c>
      <c r="C102" s="1" t="str">
        <f>MID(CRYPTOWAT[[#This Row],[Name]],1,FIND(":",A102,1)-1)</f>
        <v>kraken</v>
      </c>
      <c r="D102" s="1" t="str">
        <f>MID(CRYPTOWAT[[#This Row],[Name]],FIND(":",A102,1)+1,100)</f>
        <v>btceur</v>
      </c>
    </row>
    <row r="103" spans="1:4">
      <c r="A103" t="s">
        <v>250</v>
      </c>
      <c r="B103" s="1">
        <v>3018</v>
      </c>
      <c r="C103" s="1" t="str">
        <f>MID(CRYPTOWAT[[#This Row],[Name]],1,FIND(":",A103,1)-1)</f>
        <v>kraken</v>
      </c>
      <c r="D103" s="1" t="str">
        <f>MID(CRYPTOWAT[[#This Row],[Name]],FIND(":",A103,1)+1,100)</f>
        <v>btcgbp</v>
      </c>
    </row>
    <row r="104" spans="1:4">
      <c r="A104" t="s">
        <v>251</v>
      </c>
      <c r="B104" s="1">
        <v>502565</v>
      </c>
      <c r="C104" s="1" t="str">
        <f>MID(CRYPTOWAT[[#This Row],[Name]],1,FIND(":",A104,1)-1)</f>
        <v>kraken</v>
      </c>
      <c r="D104" s="1" t="str">
        <f>MID(CRYPTOWAT[[#This Row],[Name]],FIND(":",A104,1)+1,100)</f>
        <v>btcjpy</v>
      </c>
    </row>
    <row r="105" spans="1:4">
      <c r="A105" t="s">
        <v>252</v>
      </c>
      <c r="B105" s="1">
        <v>4639.6000000000004</v>
      </c>
      <c r="C105" s="1" t="str">
        <f>MID(CRYPTOWAT[[#This Row],[Name]],1,FIND(":",A105,1)-1)</f>
        <v>kraken</v>
      </c>
      <c r="D105" s="1" t="str">
        <f>MID(CRYPTOWAT[[#This Row],[Name]],FIND(":",A105,1)+1,100)</f>
        <v>btcusd</v>
      </c>
    </row>
    <row r="106" spans="1:4">
      <c r="A106" t="s">
        <v>253</v>
      </c>
      <c r="B106" s="1">
        <v>7.5389999999999999E-2</v>
      </c>
      <c r="C106" s="1" t="str">
        <f>MID(CRYPTOWAT[[#This Row],[Name]],1,FIND(":",A106,1)-1)</f>
        <v>kraken</v>
      </c>
      <c r="D106" s="1" t="str">
        <f>MID(CRYPTOWAT[[#This Row],[Name]],FIND(":",A106,1)+1,100)</f>
        <v>dashbtc</v>
      </c>
    </row>
    <row r="107" spans="1:4">
      <c r="A107" t="s">
        <v>254</v>
      </c>
      <c r="B107" s="1">
        <v>290.91899999999998</v>
      </c>
      <c r="C107" s="1" t="str">
        <f>MID(CRYPTOWAT[[#This Row],[Name]],1,FIND(":",A107,1)-1)</f>
        <v>kraken</v>
      </c>
      <c r="D107" s="1" t="str">
        <f>MID(CRYPTOWAT[[#This Row],[Name]],FIND(":",A107,1)+1,100)</f>
        <v>dasheur</v>
      </c>
    </row>
    <row r="108" spans="1:4">
      <c r="A108" t="s">
        <v>255</v>
      </c>
      <c r="B108" s="1">
        <v>349.62</v>
      </c>
      <c r="C108" s="1" t="str">
        <f>MID(CRYPTOWAT[[#This Row],[Name]],1,FIND(":",A108,1)-1)</f>
        <v>kraken</v>
      </c>
      <c r="D108" s="1" t="str">
        <f>MID(CRYPTOWAT[[#This Row],[Name]],FIND(":",A108,1)+1,100)</f>
        <v>dashusd</v>
      </c>
    </row>
    <row r="109" spans="1:4">
      <c r="A109" t="s">
        <v>256</v>
      </c>
      <c r="B109" s="1">
        <v>4.4000000000000002E-7</v>
      </c>
      <c r="C109" s="1" t="str">
        <f>MID(CRYPTOWAT[[#This Row],[Name]],1,FIND(":",A109,1)-1)</f>
        <v>kraken</v>
      </c>
      <c r="D109" s="1" t="str">
        <f>MID(CRYPTOWAT[[#This Row],[Name]],FIND(":",A109,1)+1,100)</f>
        <v>dogebtc</v>
      </c>
    </row>
    <row r="110" spans="1:4">
      <c r="A110" t="s">
        <v>257</v>
      </c>
      <c r="B110" s="1">
        <v>2.0100000000000001E-4</v>
      </c>
      <c r="C110" s="1" t="str">
        <f>MID(CRYPTOWAT[[#This Row],[Name]],1,FIND(":",A110,1)-1)</f>
        <v>kraken</v>
      </c>
      <c r="D110" s="1" t="str">
        <f>MID(CRYPTOWAT[[#This Row],[Name]],FIND(":",A110,1)+1,100)</f>
        <v>eosbtc</v>
      </c>
    </row>
    <row r="111" spans="1:4">
      <c r="A111" t="s">
        <v>258</v>
      </c>
      <c r="B111" s="1">
        <v>2.7920000000000002E-3</v>
      </c>
      <c r="C111" s="1" t="str">
        <f>MID(CRYPTOWAT[[#This Row],[Name]],1,FIND(":",A111,1)-1)</f>
        <v>kraken</v>
      </c>
      <c r="D111" s="1" t="str">
        <f>MID(CRYPTOWAT[[#This Row],[Name]],FIND(":",A111,1)+1,100)</f>
        <v>eoseth</v>
      </c>
    </row>
    <row r="112" spans="1:4">
      <c r="A112" t="s">
        <v>259</v>
      </c>
      <c r="B112" s="1">
        <v>1.0512999999999999</v>
      </c>
      <c r="C112" s="1" t="str">
        <f>MID(CRYPTOWAT[[#This Row],[Name]],1,FIND(":",A112,1)-1)</f>
        <v>kraken</v>
      </c>
      <c r="D112" s="1" t="str">
        <f>MID(CRYPTOWAT[[#This Row],[Name]],FIND(":",A112,1)+1,100)</f>
        <v>eoseur</v>
      </c>
    </row>
    <row r="113" spans="1:4">
      <c r="A113" t="s">
        <v>260</v>
      </c>
      <c r="B113" s="1">
        <v>1.2495000000000001</v>
      </c>
      <c r="C113" s="1" t="str">
        <f>MID(CRYPTOWAT[[#This Row],[Name]],1,FIND(":",A113,1)-1)</f>
        <v>kraken</v>
      </c>
      <c r="D113" s="1" t="str">
        <f>MID(CRYPTOWAT[[#This Row],[Name]],FIND(":",A113,1)+1,100)</f>
        <v>eosusd</v>
      </c>
    </row>
    <row r="114" spans="1:4">
      <c r="A114" t="s">
        <v>261</v>
      </c>
      <c r="B114" s="1">
        <v>3.9630000000000004E-3</v>
      </c>
      <c r="C114" s="1" t="str">
        <f>MID(CRYPTOWAT[[#This Row],[Name]],1,FIND(":",A114,1)-1)</f>
        <v>kraken</v>
      </c>
      <c r="D114" s="1" t="str">
        <f>MID(CRYPTOWAT[[#This Row],[Name]],FIND(":",A114,1)+1,100)</f>
        <v>etcbtc</v>
      </c>
    </row>
    <row r="115" spans="1:4">
      <c r="A115" t="s">
        <v>262</v>
      </c>
      <c r="B115" s="1">
        <v>5.4941999999999998E-2</v>
      </c>
      <c r="C115" s="1" t="str">
        <f>MID(CRYPTOWAT[[#This Row],[Name]],1,FIND(":",A115,1)-1)</f>
        <v>kraken</v>
      </c>
      <c r="D115" s="1" t="str">
        <f>MID(CRYPTOWAT[[#This Row],[Name]],FIND(":",A115,1)+1,100)</f>
        <v>etceth</v>
      </c>
    </row>
    <row r="116" spans="1:4">
      <c r="A116" t="s">
        <v>263</v>
      </c>
      <c r="B116" s="1">
        <v>15.207000000000001</v>
      </c>
      <c r="C116" s="1" t="str">
        <f>MID(CRYPTOWAT[[#This Row],[Name]],1,FIND(":",A116,1)-1)</f>
        <v>kraken</v>
      </c>
      <c r="D116" s="1" t="str">
        <f>MID(CRYPTOWAT[[#This Row],[Name]],FIND(":",A116,1)+1,100)</f>
        <v>etceur</v>
      </c>
    </row>
    <row r="117" spans="1:4">
      <c r="A117" t="s">
        <v>264</v>
      </c>
      <c r="B117" s="1">
        <v>18.292999999999999</v>
      </c>
      <c r="C117" s="1" t="str">
        <f>MID(CRYPTOWAT[[#This Row],[Name]],1,FIND(":",A117,1)-1)</f>
        <v>kraken</v>
      </c>
      <c r="D117" s="1" t="str">
        <f>MID(CRYPTOWAT[[#This Row],[Name]],FIND(":",A117,1)+1,100)</f>
        <v>etcusd</v>
      </c>
    </row>
    <row r="118" spans="1:4">
      <c r="A118" t="s">
        <v>265</v>
      </c>
      <c r="B118" s="1">
        <v>7.2099999999999997E-2</v>
      </c>
      <c r="C118" s="1" t="str">
        <f>MID(CRYPTOWAT[[#This Row],[Name]],1,FIND(":",A118,1)-1)</f>
        <v>kraken</v>
      </c>
      <c r="D118" s="1" t="str">
        <f>MID(CRYPTOWAT[[#This Row],[Name]],FIND(":",A118,1)+1,100)</f>
        <v>ethbtc</v>
      </c>
    </row>
    <row r="119" spans="1:4">
      <c r="A119" t="s">
        <v>266</v>
      </c>
      <c r="B119" s="1">
        <v>417.24</v>
      </c>
      <c r="C119" s="1" t="str">
        <f>MID(CRYPTOWAT[[#This Row],[Name]],1,FIND(":",A119,1)-1)</f>
        <v>kraken</v>
      </c>
      <c r="D119" s="1" t="str">
        <f>MID(CRYPTOWAT[[#This Row],[Name]],FIND(":",A119,1)+1,100)</f>
        <v>ethcad</v>
      </c>
    </row>
    <row r="120" spans="1:4">
      <c r="A120" t="s">
        <v>267</v>
      </c>
      <c r="B120" s="1">
        <v>276.93</v>
      </c>
      <c r="C120" s="1" t="str">
        <f>MID(CRYPTOWAT[[#This Row],[Name]],1,FIND(":",A120,1)-1)</f>
        <v>kraken</v>
      </c>
      <c r="D120" s="1" t="str">
        <f>MID(CRYPTOWAT[[#This Row],[Name]],FIND(":",A120,1)+1,100)</f>
        <v>etheur</v>
      </c>
    </row>
    <row r="121" spans="1:4">
      <c r="A121" t="s">
        <v>268</v>
      </c>
      <c r="B121" s="1">
        <v>244.99791999999999</v>
      </c>
      <c r="C121" s="1" t="str">
        <f>MID(CRYPTOWAT[[#This Row],[Name]],1,FIND(":",A121,1)-1)</f>
        <v>kraken</v>
      </c>
      <c r="D121" s="1" t="str">
        <f>MID(CRYPTOWAT[[#This Row],[Name]],FIND(":",A121,1)+1,100)</f>
        <v>ethgbp</v>
      </c>
    </row>
    <row r="122" spans="1:4">
      <c r="A122" t="s">
        <v>269</v>
      </c>
      <c r="B122" s="1">
        <v>36000</v>
      </c>
      <c r="C122" s="1" t="str">
        <f>MID(CRYPTOWAT[[#This Row],[Name]],1,FIND(":",A122,1)-1)</f>
        <v>kraken</v>
      </c>
      <c r="D122" s="1" t="str">
        <f>MID(CRYPTOWAT[[#This Row],[Name]],FIND(":",A122,1)+1,100)</f>
        <v>ethjpy</v>
      </c>
    </row>
    <row r="123" spans="1:4">
      <c r="A123" t="s">
        <v>270</v>
      </c>
      <c r="B123" s="1">
        <v>332.4</v>
      </c>
      <c r="C123" s="1" t="str">
        <f>MID(CRYPTOWAT[[#This Row],[Name]],1,FIND(":",A123,1)-1)</f>
        <v>kraken</v>
      </c>
      <c r="D123" s="1" t="str">
        <f>MID(CRYPTOWAT[[#This Row],[Name]],FIND(":",A123,1)+1,100)</f>
        <v>ethusd</v>
      </c>
    </row>
    <row r="124" spans="1:4">
      <c r="A124" t="s">
        <v>271</v>
      </c>
      <c r="B124" s="1">
        <v>3.4979999999999997E-2</v>
      </c>
      <c r="C124" s="1" t="str">
        <f>MID(CRYPTOWAT[[#This Row],[Name]],1,FIND(":",A124,1)-1)</f>
        <v>kraken</v>
      </c>
      <c r="D124" s="1" t="str">
        <f>MID(CRYPTOWAT[[#This Row],[Name]],FIND(":",A124,1)+1,100)</f>
        <v>gnobtc</v>
      </c>
    </row>
    <row r="125" spans="1:4">
      <c r="A125" t="s">
        <v>272</v>
      </c>
      <c r="B125" s="1">
        <v>0.4849</v>
      </c>
      <c r="C125" s="1" t="str">
        <f>MID(CRYPTOWAT[[#This Row],[Name]],1,FIND(":",A125,1)-1)</f>
        <v>kraken</v>
      </c>
      <c r="D125" s="1" t="str">
        <f>MID(CRYPTOWAT[[#This Row],[Name]],FIND(":",A125,1)+1,100)</f>
        <v>gnoeth</v>
      </c>
    </row>
    <row r="126" spans="1:4">
      <c r="A126" t="s">
        <v>273</v>
      </c>
      <c r="B126" s="1">
        <v>137.38220000000001</v>
      </c>
      <c r="C126" s="1" t="str">
        <f>MID(CRYPTOWAT[[#This Row],[Name]],1,FIND(":",A126,1)-1)</f>
        <v>kraken</v>
      </c>
      <c r="D126" s="1" t="str">
        <f>MID(CRYPTOWAT[[#This Row],[Name]],FIND(":",A126,1)+1,100)</f>
        <v>gnoeur</v>
      </c>
    </row>
    <row r="127" spans="1:4">
      <c r="A127" t="s">
        <v>274</v>
      </c>
      <c r="B127" s="1">
        <v>150</v>
      </c>
      <c r="C127" s="1" t="str">
        <f>MID(CRYPTOWAT[[#This Row],[Name]],1,FIND(":",A127,1)-1)</f>
        <v>kraken</v>
      </c>
      <c r="D127" s="1" t="str">
        <f>MID(CRYPTOWAT[[#This Row],[Name]],FIND(":",A127,1)+1,100)</f>
        <v>gnousd</v>
      </c>
    </row>
    <row r="128" spans="1:4">
      <c r="A128" t="s">
        <v>275</v>
      </c>
      <c r="B128" s="1">
        <v>4.8899999999999996E-4</v>
      </c>
      <c r="C128" s="1" t="str">
        <f>MID(CRYPTOWAT[[#This Row],[Name]],1,FIND(":",A128,1)-1)</f>
        <v>kraken</v>
      </c>
      <c r="D128" s="1" t="str">
        <f>MID(CRYPTOWAT[[#This Row],[Name]],FIND(":",A128,1)+1,100)</f>
        <v>icnbtc</v>
      </c>
    </row>
    <row r="129" spans="1:4">
      <c r="A129" t="s">
        <v>276</v>
      </c>
      <c r="B129" s="1">
        <v>6.7980000000000002E-3</v>
      </c>
      <c r="C129" s="1" t="str">
        <f>MID(CRYPTOWAT[[#This Row],[Name]],1,FIND(":",A129,1)-1)</f>
        <v>kraken</v>
      </c>
      <c r="D129" s="1" t="str">
        <f>MID(CRYPTOWAT[[#This Row],[Name]],FIND(":",A129,1)+1,100)</f>
        <v>icneth</v>
      </c>
    </row>
    <row r="130" spans="1:4">
      <c r="A130" t="s">
        <v>277</v>
      </c>
      <c r="B130" s="1">
        <v>1.7440000000000001E-2</v>
      </c>
      <c r="C130" s="1" t="str">
        <f>MID(CRYPTOWAT[[#This Row],[Name]],1,FIND(":",A130,1)-1)</f>
        <v>kraken</v>
      </c>
      <c r="D130" s="1" t="str">
        <f>MID(CRYPTOWAT[[#This Row],[Name]],FIND(":",A130,1)+1,100)</f>
        <v>ltcbtc</v>
      </c>
    </row>
    <row r="131" spans="1:4">
      <c r="A131" t="s">
        <v>278</v>
      </c>
      <c r="B131" s="1">
        <v>4.8090799999999998</v>
      </c>
      <c r="C131" s="1" t="str">
        <f>MID(CRYPTOWAT[[#This Row],[Name]],1,FIND(":",A131,1)-1)</f>
        <v>kraken</v>
      </c>
      <c r="D131" s="1" t="str">
        <f>MID(CRYPTOWAT[[#This Row],[Name]],FIND(":",A131,1)+1,100)</f>
        <v>ltccad</v>
      </c>
    </row>
    <row r="132" spans="1:4">
      <c r="A132" t="s">
        <v>279</v>
      </c>
      <c r="B132" s="1">
        <v>67.099999999999994</v>
      </c>
      <c r="C132" s="1" t="str">
        <f>MID(CRYPTOWAT[[#This Row],[Name]],1,FIND(":",A132,1)-1)</f>
        <v>kraken</v>
      </c>
      <c r="D132" s="1" t="str">
        <f>MID(CRYPTOWAT[[#This Row],[Name]],FIND(":",A132,1)+1,100)</f>
        <v>ltceur</v>
      </c>
    </row>
    <row r="133" spans="1:4">
      <c r="A133" t="s">
        <v>280</v>
      </c>
      <c r="B133" s="1">
        <v>81</v>
      </c>
      <c r="C133" s="1" t="str">
        <f>MID(CRYPTOWAT[[#This Row],[Name]],1,FIND(":",A133,1)-1)</f>
        <v>kraken</v>
      </c>
      <c r="D133" s="1" t="str">
        <f>MID(CRYPTOWAT[[#This Row],[Name]],FIND(":",A133,1)+1,100)</f>
        <v>ltcusd</v>
      </c>
    </row>
    <row r="134" spans="1:4">
      <c r="A134" t="s">
        <v>281</v>
      </c>
      <c r="B134" s="1">
        <v>1.6324999999999999E-2</v>
      </c>
      <c r="C134" s="1" t="str">
        <f>MID(CRYPTOWAT[[#This Row],[Name]],1,FIND(":",A134,1)-1)</f>
        <v>kraken</v>
      </c>
      <c r="D134" s="1" t="str">
        <f>MID(CRYPTOWAT[[#This Row],[Name]],FIND(":",A134,1)+1,100)</f>
        <v>mlnbtc</v>
      </c>
    </row>
    <row r="135" spans="1:4">
      <c r="A135" t="s">
        <v>282</v>
      </c>
      <c r="B135" s="1">
        <v>0.22957</v>
      </c>
      <c r="C135" s="1" t="str">
        <f>MID(CRYPTOWAT[[#This Row],[Name]],1,FIND(":",A135,1)-1)</f>
        <v>kraken</v>
      </c>
      <c r="D135" s="1" t="str">
        <f>MID(CRYPTOWAT[[#This Row],[Name]],FIND(":",A135,1)+1,100)</f>
        <v>mlneth</v>
      </c>
    </row>
    <row r="136" spans="1:4">
      <c r="A136" t="s">
        <v>283</v>
      </c>
      <c r="B136" s="1">
        <v>5.2290000000000001E-3</v>
      </c>
      <c r="C136" s="1" t="str">
        <f>MID(CRYPTOWAT[[#This Row],[Name]],1,FIND(":",A136,1)-1)</f>
        <v>kraken</v>
      </c>
      <c r="D136" s="1" t="str">
        <f>MID(CRYPTOWAT[[#This Row],[Name]],FIND(":",A136,1)+1,100)</f>
        <v>repbtc</v>
      </c>
    </row>
    <row r="137" spans="1:4">
      <c r="A137" t="s">
        <v>284</v>
      </c>
      <c r="B137" s="1">
        <v>5.3175600000000003</v>
      </c>
      <c r="C137" s="1" t="str">
        <f>MID(CRYPTOWAT[[#This Row],[Name]],1,FIND(":",A137,1)-1)</f>
        <v>kraken</v>
      </c>
      <c r="D137" s="1" t="str">
        <f>MID(CRYPTOWAT[[#This Row],[Name]],FIND(":",A137,1)+1,100)</f>
        <v>repcad</v>
      </c>
    </row>
    <row r="138" spans="1:4">
      <c r="A138" t="s">
        <v>285</v>
      </c>
      <c r="B138" s="1">
        <v>7.2300000000000003E-2</v>
      </c>
      <c r="C138" s="1" t="str">
        <f>MID(CRYPTOWAT[[#This Row],[Name]],1,FIND(":",A138,1)-1)</f>
        <v>kraken</v>
      </c>
      <c r="D138" s="1" t="str">
        <f>MID(CRYPTOWAT[[#This Row],[Name]],FIND(":",A138,1)+1,100)</f>
        <v>repeth</v>
      </c>
    </row>
    <row r="139" spans="1:4">
      <c r="A139" t="s">
        <v>286</v>
      </c>
      <c r="B139" s="1">
        <v>20.074999999999999</v>
      </c>
      <c r="C139" s="1" t="str">
        <f>MID(CRYPTOWAT[[#This Row],[Name]],1,FIND(":",A139,1)-1)</f>
        <v>kraken</v>
      </c>
      <c r="D139" s="1" t="str">
        <f>MID(CRYPTOWAT[[#This Row],[Name]],FIND(":",A139,1)+1,100)</f>
        <v>repeur</v>
      </c>
    </row>
    <row r="140" spans="1:4">
      <c r="A140" t="s">
        <v>287</v>
      </c>
      <c r="B140" s="1">
        <v>350</v>
      </c>
      <c r="C140" s="1" t="str">
        <f>MID(CRYPTOWAT[[#This Row],[Name]],1,FIND(":",A140,1)-1)</f>
        <v>kraken</v>
      </c>
      <c r="D140" s="1" t="str">
        <f>MID(CRYPTOWAT[[#This Row],[Name]],FIND(":",A140,1)+1,100)</f>
        <v>repjpy</v>
      </c>
    </row>
    <row r="141" spans="1:4">
      <c r="A141" t="s">
        <v>288</v>
      </c>
      <c r="B141" s="1">
        <v>20.534199999999998</v>
      </c>
      <c r="C141" s="1" t="str">
        <f>MID(CRYPTOWAT[[#This Row],[Name]],1,FIND(":",A141,1)-1)</f>
        <v>kraken</v>
      </c>
      <c r="D141" s="1" t="str">
        <f>MID(CRYPTOWAT[[#This Row],[Name]],FIND(":",A141,1)+1,100)</f>
        <v>repusd</v>
      </c>
    </row>
    <row r="142" spans="1:4">
      <c r="A142" t="s">
        <v>289</v>
      </c>
      <c r="B142" s="1">
        <v>4.4499999999999997E-6</v>
      </c>
      <c r="C142" s="1" t="str">
        <f>MID(CRYPTOWAT[[#This Row],[Name]],1,FIND(":",A142,1)-1)</f>
        <v>kraken</v>
      </c>
      <c r="D142" s="1" t="str">
        <f>MID(CRYPTOWAT[[#This Row],[Name]],FIND(":",A142,1)+1,100)</f>
        <v>strbtc</v>
      </c>
    </row>
    <row r="143" spans="1:4">
      <c r="A143" t="s">
        <v>290</v>
      </c>
      <c r="B143" s="1">
        <v>1.4500000000000001E-2</v>
      </c>
      <c r="C143" s="1" t="str">
        <f>MID(CRYPTOWAT[[#This Row],[Name]],1,FIND(":",A143,1)-1)</f>
        <v>kraken</v>
      </c>
      <c r="D143" s="1" t="str">
        <f>MID(CRYPTOWAT[[#This Row],[Name]],FIND(":",A143,1)+1,100)</f>
        <v>streur</v>
      </c>
    </row>
    <row r="144" spans="1:4">
      <c r="A144" t="s">
        <v>291</v>
      </c>
      <c r="B144" s="1">
        <v>1.7072E-2</v>
      </c>
      <c r="C144" s="1" t="str">
        <f>MID(CRYPTOWAT[[#This Row],[Name]],1,FIND(":",A144,1)-1)</f>
        <v>kraken</v>
      </c>
      <c r="D144" s="1" t="str">
        <f>MID(CRYPTOWAT[[#This Row],[Name]],FIND(":",A144,1)+1,100)</f>
        <v>strusd</v>
      </c>
    </row>
    <row r="145" spans="1:4">
      <c r="A145" t="s">
        <v>292</v>
      </c>
      <c r="B145" s="1">
        <v>1.0126999999999999</v>
      </c>
      <c r="C145" s="1" t="str">
        <f>MID(CRYPTOWAT[[#This Row],[Name]],1,FIND(":",A145,1)-1)</f>
        <v>kraken</v>
      </c>
      <c r="D145" s="1" t="str">
        <f>MID(CRYPTOWAT[[#This Row],[Name]],FIND(":",A145,1)+1,100)</f>
        <v>usdtusd</v>
      </c>
    </row>
    <row r="146" spans="1:4">
      <c r="A146" t="s">
        <v>293</v>
      </c>
      <c r="B146" s="1">
        <v>2.6418000000000001E-2</v>
      </c>
      <c r="C146" s="1" t="str">
        <f>MID(CRYPTOWAT[[#This Row],[Name]],1,FIND(":",A146,1)-1)</f>
        <v>kraken</v>
      </c>
      <c r="D146" s="1" t="str">
        <f>MID(CRYPTOWAT[[#This Row],[Name]],FIND(":",A146,1)+1,100)</f>
        <v>xmrbtc</v>
      </c>
    </row>
    <row r="147" spans="1:4">
      <c r="A147" t="s">
        <v>294</v>
      </c>
      <c r="B147" s="1">
        <v>102.2</v>
      </c>
      <c r="C147" s="1" t="str">
        <f>MID(CRYPTOWAT[[#This Row],[Name]],1,FIND(":",A147,1)-1)</f>
        <v>kraken</v>
      </c>
      <c r="D147" s="1" t="str">
        <f>MID(CRYPTOWAT[[#This Row],[Name]],FIND(":",A147,1)+1,100)</f>
        <v>xmreur</v>
      </c>
    </row>
    <row r="148" spans="1:4">
      <c r="A148" t="s">
        <v>295</v>
      </c>
      <c r="B148" s="1">
        <v>124.33</v>
      </c>
      <c r="C148" s="1" t="str">
        <f>MID(CRYPTOWAT[[#This Row],[Name]],1,FIND(":",A148,1)-1)</f>
        <v>kraken</v>
      </c>
      <c r="D148" s="1" t="str">
        <f>MID(CRYPTOWAT[[#This Row],[Name]],FIND(":",A148,1)+1,100)</f>
        <v>xmrusd</v>
      </c>
    </row>
    <row r="149" spans="1:4">
      <c r="A149" t="s">
        <v>296</v>
      </c>
      <c r="B149" s="1">
        <v>4.9370000000000003E-5</v>
      </c>
      <c r="C149" s="1" t="str">
        <f>MID(CRYPTOWAT[[#This Row],[Name]],1,FIND(":",A149,1)-1)</f>
        <v>kraken</v>
      </c>
      <c r="D149" s="1" t="str">
        <f>MID(CRYPTOWAT[[#This Row],[Name]],FIND(":",A149,1)+1,100)</f>
        <v>xrpbtc</v>
      </c>
    </row>
    <row r="150" spans="1:4">
      <c r="A150" t="s">
        <v>297</v>
      </c>
      <c r="B150" s="1">
        <v>0.23414299999999999</v>
      </c>
      <c r="C150" s="1" t="str">
        <f>MID(CRYPTOWAT[[#This Row],[Name]],1,FIND(":",A150,1)-1)</f>
        <v>kraken</v>
      </c>
      <c r="D150" s="1" t="str">
        <f>MID(CRYPTOWAT[[#This Row],[Name]],FIND(":",A150,1)+1,100)</f>
        <v>xrpcad</v>
      </c>
    </row>
    <row r="151" spans="1:4">
      <c r="A151" t="s">
        <v>298</v>
      </c>
      <c r="B151" s="1">
        <v>0.18956000000000001</v>
      </c>
      <c r="C151" s="1" t="str">
        <f>MID(CRYPTOWAT[[#This Row],[Name]],1,FIND(":",A151,1)-1)</f>
        <v>kraken</v>
      </c>
      <c r="D151" s="1" t="str">
        <f>MID(CRYPTOWAT[[#This Row],[Name]],FIND(":",A151,1)+1,100)</f>
        <v>xrpeur</v>
      </c>
    </row>
    <row r="152" spans="1:4">
      <c r="A152" t="s">
        <v>299</v>
      </c>
      <c r="B152" s="1">
        <v>20.045100000000001</v>
      </c>
      <c r="C152" s="1" t="str">
        <f>MID(CRYPTOWAT[[#This Row],[Name]],1,FIND(":",A152,1)-1)</f>
        <v>kraken</v>
      </c>
      <c r="D152" s="1" t="str">
        <f>MID(CRYPTOWAT[[#This Row],[Name]],FIND(":",A152,1)+1,100)</f>
        <v>xrpjpy</v>
      </c>
    </row>
    <row r="153" spans="1:4">
      <c r="A153" t="s">
        <v>300</v>
      </c>
      <c r="B153" s="1">
        <v>0.22803000000000001</v>
      </c>
      <c r="C153" s="1" t="str">
        <f>MID(CRYPTOWAT[[#This Row],[Name]],1,FIND(":",A153,1)-1)</f>
        <v>kraken</v>
      </c>
      <c r="D153" s="1" t="str">
        <f>MID(CRYPTOWAT[[#This Row],[Name]],FIND(":",A153,1)+1,100)</f>
        <v>xrpusd</v>
      </c>
    </row>
    <row r="154" spans="1:4">
      <c r="A154" t="s">
        <v>301</v>
      </c>
      <c r="B154" s="1">
        <v>5.2789999999999997E-2</v>
      </c>
      <c r="C154" s="1" t="str">
        <f>MID(CRYPTOWAT[[#This Row],[Name]],1,FIND(":",A154,1)-1)</f>
        <v>kraken</v>
      </c>
      <c r="D154" s="1" t="str">
        <f>MID(CRYPTOWAT[[#This Row],[Name]],FIND(":",A154,1)+1,100)</f>
        <v>zecbtc</v>
      </c>
    </row>
    <row r="155" spans="1:4">
      <c r="A155" t="s">
        <v>302</v>
      </c>
      <c r="B155" s="1">
        <v>47.38758</v>
      </c>
      <c r="C155" s="1" t="str">
        <f>MID(CRYPTOWAT[[#This Row],[Name]],1,FIND(":",A155,1)-1)</f>
        <v>kraken</v>
      </c>
      <c r="D155" s="1" t="str">
        <f>MID(CRYPTOWAT[[#This Row],[Name]],FIND(":",A155,1)+1,100)</f>
        <v>zeccad</v>
      </c>
    </row>
    <row r="156" spans="1:4">
      <c r="A156" t="s">
        <v>303</v>
      </c>
      <c r="B156" s="1">
        <v>205.06</v>
      </c>
      <c r="C156" s="1" t="str">
        <f>MID(CRYPTOWAT[[#This Row],[Name]],1,FIND(":",A156,1)-1)</f>
        <v>kraken</v>
      </c>
      <c r="D156" s="1" t="str">
        <f>MID(CRYPTOWAT[[#This Row],[Name]],FIND(":",A156,1)+1,100)</f>
        <v>zeceur</v>
      </c>
    </row>
    <row r="157" spans="1:4">
      <c r="A157" t="s">
        <v>304</v>
      </c>
      <c r="B157" s="1">
        <v>29.107279999999999</v>
      </c>
      <c r="C157" s="1" t="str">
        <f>MID(CRYPTOWAT[[#This Row],[Name]],1,FIND(":",A157,1)-1)</f>
        <v>kraken</v>
      </c>
      <c r="D157" s="1" t="str">
        <f>MID(CRYPTOWAT[[#This Row],[Name]],FIND(":",A157,1)+1,100)</f>
        <v>zecgbp</v>
      </c>
    </row>
    <row r="158" spans="1:4">
      <c r="A158" t="s">
        <v>305</v>
      </c>
      <c r="B158" s="1">
        <v>27455.94</v>
      </c>
      <c r="C158" s="1" t="str">
        <f>MID(CRYPTOWAT[[#This Row],[Name]],1,FIND(":",A158,1)-1)</f>
        <v>kraken</v>
      </c>
      <c r="D158" s="1" t="str">
        <f>MID(CRYPTOWAT[[#This Row],[Name]],FIND(":",A158,1)+1,100)</f>
        <v>zecjpy</v>
      </c>
    </row>
    <row r="159" spans="1:4">
      <c r="A159" t="s">
        <v>306</v>
      </c>
      <c r="B159" s="1">
        <v>245.35</v>
      </c>
      <c r="C159" s="1" t="str">
        <f>MID(CRYPTOWAT[[#This Row],[Name]],1,FIND(":",A159,1)-1)</f>
        <v>kraken</v>
      </c>
      <c r="D159" s="1" t="str">
        <f>MID(CRYPTOWAT[[#This Row],[Name]],FIND(":",A159,1)+1,100)</f>
        <v>zecusd</v>
      </c>
    </row>
    <row r="160" spans="1:4">
      <c r="A160" t="s">
        <v>307</v>
      </c>
      <c r="B160" s="1">
        <v>65209</v>
      </c>
      <c r="C160" s="1" t="str">
        <f>MID(CRYPTOWAT[[#This Row],[Name]],1,FIND(":",A160,1)-1)</f>
        <v>luno</v>
      </c>
      <c r="D160" s="1" t="str">
        <f>MID(CRYPTOWAT[[#This Row],[Name]],FIND(":",A160,1)+1,100)</f>
        <v>btczar</v>
      </c>
    </row>
    <row r="161" spans="1:4">
      <c r="A161" t="s">
        <v>308</v>
      </c>
      <c r="B161" s="1">
        <v>28541.05</v>
      </c>
      <c r="C161" s="1" t="str">
        <f>MID(CRYPTOWAT[[#This Row],[Name]],1,FIND(":",A161,1)-1)</f>
        <v>okcoin</v>
      </c>
      <c r="D161" s="1" t="str">
        <f>MID(CRYPTOWAT[[#This Row],[Name]],FIND(":",A161,1)+1,100)</f>
        <v>btccny</v>
      </c>
    </row>
    <row r="162" spans="1:4">
      <c r="A162" t="s">
        <v>309</v>
      </c>
      <c r="B162" s="1">
        <v>4644.92</v>
      </c>
      <c r="C162" s="1" t="str">
        <f>MID(CRYPTOWAT[[#This Row],[Name]],1,FIND(":",A162,1)-1)</f>
        <v>okcoin</v>
      </c>
      <c r="D162" s="1" t="str">
        <f>MID(CRYPTOWAT[[#This Row],[Name]],FIND(":",A162,1)+1,100)</f>
        <v>btcusd</v>
      </c>
    </row>
    <row r="163" spans="1:4">
      <c r="A163" t="s">
        <v>310</v>
      </c>
      <c r="B163" s="1">
        <v>4449.84</v>
      </c>
      <c r="C163" s="1" t="str">
        <f>MID(CRYPTOWAT[[#This Row],[Name]],1,FIND(":",A163,1)-1)</f>
        <v>okcoin</v>
      </c>
      <c r="D163" s="1" t="str">
        <f>MID(CRYPTOWAT[[#This Row],[Name]],FIND(":",A163,1)+1,100)</f>
        <v>btcusd-biweekly-futures</v>
      </c>
    </row>
    <row r="164" spans="1:4">
      <c r="A164" t="s">
        <v>311</v>
      </c>
      <c r="B164" s="1">
        <v>4451.7</v>
      </c>
      <c r="C164" s="1" t="str">
        <f>MID(CRYPTOWAT[[#This Row],[Name]],1,FIND(":",A164,1)-1)</f>
        <v>okcoin</v>
      </c>
      <c r="D164" s="1" t="str">
        <f>MID(CRYPTOWAT[[#This Row],[Name]],FIND(":",A164,1)+1,100)</f>
        <v>btcusd-quarterly-futures</v>
      </c>
    </row>
    <row r="165" spans="1:4">
      <c r="A165" t="s">
        <v>312</v>
      </c>
      <c r="B165" s="1">
        <v>4455.74</v>
      </c>
      <c r="C165" s="1" t="str">
        <f>MID(CRYPTOWAT[[#This Row],[Name]],1,FIND(":",A165,1)-1)</f>
        <v>okcoin</v>
      </c>
      <c r="D165" s="1" t="str">
        <f>MID(CRYPTOWAT[[#This Row],[Name]],FIND(":",A165,1)+1,100)</f>
        <v>btcusd-weekly-futures</v>
      </c>
    </row>
    <row r="166" spans="1:4">
      <c r="A166" t="s">
        <v>313</v>
      </c>
      <c r="B166" s="1">
        <v>496</v>
      </c>
      <c r="C166" s="1" t="str">
        <f>MID(CRYPTOWAT[[#This Row],[Name]],1,FIND(":",A166,1)-1)</f>
        <v>okcoin</v>
      </c>
      <c r="D166" s="1" t="str">
        <f>MID(CRYPTOWAT[[#This Row],[Name]],FIND(":",A166,1)+1,100)</f>
        <v>ltccny</v>
      </c>
    </row>
    <row r="167" spans="1:4">
      <c r="A167" t="s">
        <v>314</v>
      </c>
      <c r="B167" s="1">
        <v>80.510999999999996</v>
      </c>
      <c r="C167" s="1" t="str">
        <f>MID(CRYPTOWAT[[#This Row],[Name]],1,FIND(":",A167,1)-1)</f>
        <v>okcoin</v>
      </c>
      <c r="D167" s="1" t="str">
        <f>MID(CRYPTOWAT[[#This Row],[Name]],FIND(":",A167,1)+1,100)</f>
        <v>ltcusd</v>
      </c>
    </row>
    <row r="168" spans="1:4">
      <c r="A168" t="s">
        <v>315</v>
      </c>
      <c r="B168" s="1">
        <v>76.194999999999993</v>
      </c>
      <c r="C168" s="1" t="str">
        <f>MID(CRYPTOWAT[[#This Row],[Name]],1,FIND(":",A168,1)-1)</f>
        <v>okcoin</v>
      </c>
      <c r="D168" s="1" t="str">
        <f>MID(CRYPTOWAT[[#This Row],[Name]],FIND(":",A168,1)+1,100)</f>
        <v>ltcusd-biweekly-futures</v>
      </c>
    </row>
    <row r="169" spans="1:4">
      <c r="A169" t="s">
        <v>316</v>
      </c>
      <c r="B169" s="1">
        <v>76.58</v>
      </c>
      <c r="C169" s="1" t="str">
        <f>MID(CRYPTOWAT[[#This Row],[Name]],1,FIND(":",A169,1)-1)</f>
        <v>okcoin</v>
      </c>
      <c r="D169" s="1" t="str">
        <f>MID(CRYPTOWAT[[#This Row],[Name]],FIND(":",A169,1)+1,100)</f>
        <v>ltcusd-quarterly-futures</v>
      </c>
    </row>
    <row r="170" spans="1:4">
      <c r="A170" t="s">
        <v>317</v>
      </c>
      <c r="B170" s="1">
        <v>77.051000000000002</v>
      </c>
      <c r="C170" s="1" t="str">
        <f>MID(CRYPTOWAT[[#This Row],[Name]],1,FIND(":",A170,1)-1)</f>
        <v>okcoin</v>
      </c>
      <c r="D170" s="1" t="str">
        <f>MID(CRYPTOWAT[[#This Row],[Name]],FIND(":",A170,1)+1,100)</f>
        <v>ltcusd-weekly-futures</v>
      </c>
    </row>
    <row r="171" spans="1:4">
      <c r="A171" t="s">
        <v>318</v>
      </c>
      <c r="B171" s="1">
        <v>0.14887173000000001</v>
      </c>
      <c r="C171" s="1" t="str">
        <f>MID(CRYPTOWAT[[#This Row],[Name]],1,FIND(":",A171,1)-1)</f>
        <v>poloniex</v>
      </c>
      <c r="D171" s="1" t="str">
        <f>MID(CRYPTOWAT[[#This Row],[Name]],FIND(":",A171,1)+1,100)</f>
        <v>bchbtc</v>
      </c>
    </row>
    <row r="172" spans="1:4">
      <c r="A172" t="s">
        <v>319</v>
      </c>
      <c r="B172" s="1">
        <v>4583.1225999999997</v>
      </c>
      <c r="C172" s="1" t="str">
        <f>MID(CRYPTOWAT[[#This Row],[Name]],1,FIND(":",A172,1)-1)</f>
        <v>poloniex</v>
      </c>
      <c r="D172" s="1" t="str">
        <f>MID(CRYPTOWAT[[#This Row],[Name]],FIND(":",A172,1)+1,100)</f>
        <v>btcusd</v>
      </c>
    </row>
    <row r="173" spans="1:4">
      <c r="A173" t="s">
        <v>320</v>
      </c>
      <c r="B173" s="1">
        <v>3.1510000000000002E-5</v>
      </c>
      <c r="C173" s="1" t="str">
        <f>MID(CRYPTOWAT[[#This Row],[Name]],1,FIND(":",A173,1)-1)</f>
        <v>poloniex</v>
      </c>
      <c r="D173" s="1" t="str">
        <f>MID(CRYPTOWAT[[#This Row],[Name]],FIND(":",A173,1)+1,100)</f>
        <v>btsbtc</v>
      </c>
    </row>
    <row r="174" spans="1:4">
      <c r="A174" t="s">
        <v>321</v>
      </c>
      <c r="B174" s="1">
        <v>0</v>
      </c>
      <c r="C174" s="1" t="str">
        <f>MID(CRYPTOWAT[[#This Row],[Name]],1,FIND(":",A174,1)-1)</f>
        <v>poloniex</v>
      </c>
      <c r="D174" s="1" t="str">
        <f>MID(CRYPTOWAT[[#This Row],[Name]],FIND(":",A174,1)+1,100)</f>
        <v>daobtc</v>
      </c>
    </row>
    <row r="175" spans="1:4">
      <c r="A175" t="s">
        <v>322</v>
      </c>
      <c r="B175" s="1">
        <v>0</v>
      </c>
      <c r="C175" s="1" t="str">
        <f>MID(CRYPTOWAT[[#This Row],[Name]],1,FIND(":",A175,1)-1)</f>
        <v>poloniex</v>
      </c>
      <c r="D175" s="1" t="str">
        <f>MID(CRYPTOWAT[[#This Row],[Name]],FIND(":",A175,1)+1,100)</f>
        <v>daoeth</v>
      </c>
    </row>
    <row r="176" spans="1:4">
      <c r="A176" t="s">
        <v>323</v>
      </c>
      <c r="B176" s="1">
        <v>7.5499999999999998E-2</v>
      </c>
      <c r="C176" s="1" t="str">
        <f>MID(CRYPTOWAT[[#This Row],[Name]],1,FIND(":",A176,1)-1)</f>
        <v>poloniex</v>
      </c>
      <c r="D176" s="1" t="str">
        <f>MID(CRYPTOWAT[[#This Row],[Name]],FIND(":",A176,1)+1,100)</f>
        <v>dashbtc</v>
      </c>
    </row>
    <row r="177" spans="1:4">
      <c r="A177" t="s">
        <v>324</v>
      </c>
      <c r="B177" s="1">
        <v>345</v>
      </c>
      <c r="C177" s="1" t="str">
        <f>MID(CRYPTOWAT[[#This Row],[Name]],1,FIND(":",A177,1)-1)</f>
        <v>poloniex</v>
      </c>
      <c r="D177" s="1" t="str">
        <f>MID(CRYPTOWAT[[#This Row],[Name]],FIND(":",A177,1)+1,100)</f>
        <v>dashusd</v>
      </c>
    </row>
    <row r="178" spans="1:4">
      <c r="A178" t="s">
        <v>325</v>
      </c>
      <c r="B178" s="1">
        <v>3.9199999999999997E-6</v>
      </c>
      <c r="C178" s="1" t="str">
        <f>MID(CRYPTOWAT[[#This Row],[Name]],1,FIND(":",A178,1)-1)</f>
        <v>poloniex</v>
      </c>
      <c r="D178" s="1" t="str">
        <f>MID(CRYPTOWAT[[#This Row],[Name]],FIND(":",A178,1)+1,100)</f>
        <v>dgbbtc</v>
      </c>
    </row>
    <row r="179" spans="1:4">
      <c r="A179" t="s">
        <v>326</v>
      </c>
      <c r="B179" s="1">
        <v>3.9705599999999997E-3</v>
      </c>
      <c r="C179" s="1" t="str">
        <f>MID(CRYPTOWAT[[#This Row],[Name]],1,FIND(":",A179,1)-1)</f>
        <v>poloniex</v>
      </c>
      <c r="D179" s="1" t="str">
        <f>MID(CRYPTOWAT[[#This Row],[Name]],FIND(":",A179,1)+1,100)</f>
        <v>etcbtc</v>
      </c>
    </row>
    <row r="180" spans="1:4">
      <c r="A180" t="s">
        <v>327</v>
      </c>
      <c r="B180" s="1">
        <v>5.4936510000000001E-2</v>
      </c>
      <c r="C180" s="1" t="str">
        <f>MID(CRYPTOWAT[[#This Row],[Name]],1,FIND(":",A180,1)-1)</f>
        <v>poloniex</v>
      </c>
      <c r="D180" s="1" t="str">
        <f>MID(CRYPTOWAT[[#This Row],[Name]],FIND(":",A180,1)+1,100)</f>
        <v>etceth</v>
      </c>
    </row>
    <row r="181" spans="1:4">
      <c r="A181" t="s">
        <v>328</v>
      </c>
      <c r="B181" s="1">
        <v>18.303000000000001</v>
      </c>
      <c r="C181" s="1" t="str">
        <f>MID(CRYPTOWAT[[#This Row],[Name]],1,FIND(":",A181,1)-1)</f>
        <v>poloniex</v>
      </c>
      <c r="D181" s="1" t="str">
        <f>MID(CRYPTOWAT[[#This Row],[Name]],FIND(":",A181,1)+1,100)</f>
        <v>etcusd</v>
      </c>
    </row>
    <row r="182" spans="1:4">
      <c r="A182" t="s">
        <v>329</v>
      </c>
      <c r="B182" s="1">
        <v>7.2100029999999996E-2</v>
      </c>
      <c r="C182" s="1" t="str">
        <f>MID(CRYPTOWAT[[#This Row],[Name]],1,FIND(":",A182,1)-1)</f>
        <v>poloniex</v>
      </c>
      <c r="D182" s="1" t="str">
        <f>MID(CRYPTOWAT[[#This Row],[Name]],FIND(":",A182,1)+1,100)</f>
        <v>ethbtc</v>
      </c>
    </row>
    <row r="183" spans="1:4">
      <c r="A183" t="s">
        <v>330</v>
      </c>
      <c r="B183" s="1">
        <v>329.66649999999998</v>
      </c>
      <c r="C183" s="1" t="str">
        <f>MID(CRYPTOWAT[[#This Row],[Name]],1,FIND(":",A183,1)-1)</f>
        <v>poloniex</v>
      </c>
      <c r="D183" s="1" t="str">
        <f>MID(CRYPTOWAT[[#This Row],[Name]],FIND(":",A183,1)+1,100)</f>
        <v>ethusd</v>
      </c>
    </row>
    <row r="184" spans="1:4">
      <c r="A184" t="s">
        <v>331</v>
      </c>
      <c r="B184" s="1">
        <v>6.2582699999999998E-3</v>
      </c>
      <c r="C184" s="1" t="str">
        <f>MID(CRYPTOWAT[[#This Row],[Name]],1,FIND(":",A184,1)-1)</f>
        <v>poloniex</v>
      </c>
      <c r="D184" s="1" t="str">
        <f>MID(CRYPTOWAT[[#This Row],[Name]],FIND(":",A184,1)+1,100)</f>
        <v>fctbtc</v>
      </c>
    </row>
    <row r="185" spans="1:4">
      <c r="A185" t="s">
        <v>332</v>
      </c>
      <c r="B185" s="1">
        <v>3.5000000000000003E-2</v>
      </c>
      <c r="C185" s="1" t="str">
        <f>MID(CRYPTOWAT[[#This Row],[Name]],1,FIND(":",A185,1)-1)</f>
        <v>poloniex</v>
      </c>
      <c r="D185" s="1" t="str">
        <f>MID(CRYPTOWAT[[#This Row],[Name]],FIND(":",A185,1)+1,100)</f>
        <v>gnobtc</v>
      </c>
    </row>
    <row r="186" spans="1:4">
      <c r="A186" t="s">
        <v>333</v>
      </c>
      <c r="B186" s="1">
        <v>0.48630000000000001</v>
      </c>
      <c r="C186" s="1" t="str">
        <f>MID(CRYPTOWAT[[#This Row],[Name]],1,FIND(":",A186,1)-1)</f>
        <v>poloniex</v>
      </c>
      <c r="D186" s="1" t="str">
        <f>MID(CRYPTOWAT[[#This Row],[Name]],FIND(":",A186,1)+1,100)</f>
        <v>gnoeth</v>
      </c>
    </row>
    <row r="187" spans="1:4">
      <c r="A187" t="s">
        <v>334</v>
      </c>
      <c r="B187" s="1">
        <v>8.9900000000000003E-5</v>
      </c>
      <c r="C187" s="1" t="str">
        <f>MID(CRYPTOWAT[[#This Row],[Name]],1,FIND(":",A187,1)-1)</f>
        <v>poloniex</v>
      </c>
      <c r="D187" s="1" t="str">
        <f>MID(CRYPTOWAT[[#This Row],[Name]],FIND(":",A187,1)+1,100)</f>
        <v>gntbtc</v>
      </c>
    </row>
    <row r="188" spans="1:4">
      <c r="A188" t="s">
        <v>335</v>
      </c>
      <c r="B188" s="1">
        <v>1.6133600000000001E-3</v>
      </c>
      <c r="C188" s="1" t="str">
        <f>MID(CRYPTOWAT[[#This Row],[Name]],1,FIND(":",A188,1)-1)</f>
        <v>poloniex</v>
      </c>
      <c r="D188" s="1" t="str">
        <f>MID(CRYPTOWAT[[#This Row],[Name]],FIND(":",A188,1)+1,100)</f>
        <v>lskbtc</v>
      </c>
    </row>
    <row r="189" spans="1:4">
      <c r="A189" t="s">
        <v>336</v>
      </c>
      <c r="B189" s="1">
        <v>2.2112779999999999E-2</v>
      </c>
      <c r="C189" s="1" t="str">
        <f>MID(CRYPTOWAT[[#This Row],[Name]],1,FIND(":",A189,1)-1)</f>
        <v>poloniex</v>
      </c>
      <c r="D189" s="1" t="str">
        <f>MID(CRYPTOWAT[[#This Row],[Name]],FIND(":",A189,1)+1,100)</f>
        <v>lsketh</v>
      </c>
    </row>
    <row r="190" spans="1:4">
      <c r="A190" t="s">
        <v>337</v>
      </c>
      <c r="B190" s="1">
        <v>1.7449989999999999E-2</v>
      </c>
      <c r="C190" s="1" t="str">
        <f>MID(CRYPTOWAT[[#This Row],[Name]],1,FIND(":",A190,1)-1)</f>
        <v>poloniex</v>
      </c>
      <c r="D190" s="1" t="str">
        <f>MID(CRYPTOWAT[[#This Row],[Name]],FIND(":",A190,1)+1,100)</f>
        <v>ltcbtc</v>
      </c>
    </row>
    <row r="191" spans="1:4">
      <c r="A191" t="s">
        <v>338</v>
      </c>
      <c r="B191" s="1">
        <v>79.684039999999996</v>
      </c>
      <c r="C191" s="1" t="str">
        <f>MID(CRYPTOWAT[[#This Row],[Name]],1,FIND(":",A191,1)-1)</f>
        <v>poloniex</v>
      </c>
      <c r="D191" s="1" t="str">
        <f>MID(CRYPTOWAT[[#This Row],[Name]],FIND(":",A191,1)+1,100)</f>
        <v>ltcusd</v>
      </c>
    </row>
    <row r="192" spans="1:4">
      <c r="A192" t="s">
        <v>339</v>
      </c>
      <c r="B192" s="1">
        <v>0.65044749999999996</v>
      </c>
      <c r="C192" s="1" t="str">
        <f>MID(CRYPTOWAT[[#This Row],[Name]],1,FIND(":",A192,1)-1)</f>
        <v>poloniex</v>
      </c>
      <c r="D192" s="1" t="str">
        <f>MID(CRYPTOWAT[[#This Row],[Name]],FIND(":",A192,1)+1,100)</f>
        <v>ltcxmr</v>
      </c>
    </row>
    <row r="193" spans="1:4">
      <c r="A193" t="s">
        <v>340</v>
      </c>
      <c r="B193" s="1">
        <v>1.5145999999999999E-4</v>
      </c>
      <c r="C193" s="1" t="str">
        <f>MID(CRYPTOWAT[[#This Row],[Name]],1,FIND(":",A193,1)-1)</f>
        <v>poloniex</v>
      </c>
      <c r="D193" s="1" t="str">
        <f>MID(CRYPTOWAT[[#This Row],[Name]],FIND(":",A193,1)+1,100)</f>
        <v>maidbtc</v>
      </c>
    </row>
    <row r="194" spans="1:4">
      <c r="A194" t="s">
        <v>341</v>
      </c>
      <c r="B194" s="1">
        <v>3.1914999999999998E-4</v>
      </c>
      <c r="C194" s="1" t="str">
        <f>MID(CRYPTOWAT[[#This Row],[Name]],1,FIND(":",A194,1)-1)</f>
        <v>poloniex</v>
      </c>
      <c r="D194" s="1" t="str">
        <f>MID(CRYPTOWAT[[#This Row],[Name]],FIND(":",A194,1)+1,100)</f>
        <v>navbtc</v>
      </c>
    </row>
    <row r="195" spans="1:4">
      <c r="A195" t="s">
        <v>342</v>
      </c>
      <c r="B195" s="1">
        <v>2.4919999999999999E-5</v>
      </c>
      <c r="C195" s="1" t="str">
        <f>MID(CRYPTOWAT[[#This Row],[Name]],1,FIND(":",A195,1)-1)</f>
        <v>poloniex</v>
      </c>
      <c r="D195" s="1" t="str">
        <f>MID(CRYPTOWAT[[#This Row],[Name]],FIND(":",A195,1)+1,100)</f>
        <v>nxtbtc</v>
      </c>
    </row>
    <row r="196" spans="1:4">
      <c r="A196" t="s">
        <v>343</v>
      </c>
      <c r="B196" s="1">
        <v>0.11495898</v>
      </c>
      <c r="C196" s="1" t="str">
        <f>MID(CRYPTOWAT[[#This Row],[Name]],1,FIND(":",A196,1)-1)</f>
        <v>poloniex</v>
      </c>
      <c r="D196" s="1" t="str">
        <f>MID(CRYPTOWAT[[#This Row],[Name]],FIND(":",A196,1)+1,100)</f>
        <v>nxtusd</v>
      </c>
    </row>
    <row r="197" spans="1:4">
      <c r="A197" t="s">
        <v>344</v>
      </c>
      <c r="B197" s="1">
        <v>9.4569000000000001E-4</v>
      </c>
      <c r="C197" s="1" t="str">
        <f>MID(CRYPTOWAT[[#This Row],[Name]],1,FIND(":",A197,1)-1)</f>
        <v>poloniex</v>
      </c>
      <c r="D197" s="1" t="str">
        <f>MID(CRYPTOWAT[[#This Row],[Name]],FIND(":",A197,1)+1,100)</f>
        <v>nxtxmr</v>
      </c>
    </row>
    <row r="198" spans="1:4">
      <c r="A198" t="s">
        <v>345</v>
      </c>
      <c r="B198" s="1">
        <v>5.2021599999999999E-3</v>
      </c>
      <c r="C198" s="1" t="str">
        <f>MID(CRYPTOWAT[[#This Row],[Name]],1,FIND(":",A198,1)-1)</f>
        <v>poloniex</v>
      </c>
      <c r="D198" s="1" t="str">
        <f>MID(CRYPTOWAT[[#This Row],[Name]],FIND(":",A198,1)+1,100)</f>
        <v>repbtc</v>
      </c>
    </row>
    <row r="199" spans="1:4">
      <c r="A199" t="s">
        <v>346</v>
      </c>
      <c r="B199" s="1">
        <v>7.2137530000000005E-2</v>
      </c>
      <c r="C199" s="1" t="str">
        <f>MID(CRYPTOWAT[[#This Row],[Name]],1,FIND(":",A199,1)-1)</f>
        <v>poloniex</v>
      </c>
      <c r="D199" s="1" t="str">
        <f>MID(CRYPTOWAT[[#This Row],[Name]],FIND(":",A199,1)+1,100)</f>
        <v>repeth</v>
      </c>
    </row>
    <row r="200" spans="1:4">
      <c r="A200" t="s">
        <v>347</v>
      </c>
      <c r="B200" s="1">
        <v>24.058363</v>
      </c>
      <c r="C200" s="1" t="str">
        <f>MID(CRYPTOWAT[[#This Row],[Name]],1,FIND(":",A200,1)-1)</f>
        <v>poloniex</v>
      </c>
      <c r="D200" s="1" t="str">
        <f>MID(CRYPTOWAT[[#This Row],[Name]],FIND(":",A200,1)+1,100)</f>
        <v>repusd</v>
      </c>
    </row>
    <row r="201" spans="1:4">
      <c r="A201" t="s">
        <v>348</v>
      </c>
      <c r="B201" s="1">
        <v>3.2948999999999999E-4</v>
      </c>
      <c r="C201" s="1" t="str">
        <f>MID(CRYPTOWAT[[#This Row],[Name]],1,FIND(":",A201,1)-1)</f>
        <v>poloniex</v>
      </c>
      <c r="D201" s="1" t="str">
        <f>MID(CRYPTOWAT[[#This Row],[Name]],FIND(":",A201,1)+1,100)</f>
        <v>sdcbtc</v>
      </c>
    </row>
    <row r="202" spans="1:4">
      <c r="A202" t="s">
        <v>349</v>
      </c>
      <c r="B202" s="1">
        <v>1.3734800000000001E-3</v>
      </c>
      <c r="C202" s="1" t="str">
        <f>MID(CRYPTOWAT[[#This Row],[Name]],1,FIND(":",A202,1)-1)</f>
        <v>poloniex</v>
      </c>
      <c r="D202" s="1" t="str">
        <f>MID(CRYPTOWAT[[#This Row],[Name]],FIND(":",A202,1)+1,100)</f>
        <v>stratbtc</v>
      </c>
    </row>
    <row r="203" spans="1:4">
      <c r="A203" t="s">
        <v>350</v>
      </c>
      <c r="B203" s="1">
        <v>4.42E-6</v>
      </c>
      <c r="C203" s="1" t="str">
        <f>MID(CRYPTOWAT[[#This Row],[Name]],1,FIND(":",A203,1)-1)</f>
        <v>poloniex</v>
      </c>
      <c r="D203" s="1" t="str">
        <f>MID(CRYPTOWAT[[#This Row],[Name]],FIND(":",A203,1)+1,100)</f>
        <v>strbtc</v>
      </c>
    </row>
    <row r="204" spans="1:4">
      <c r="A204" t="s">
        <v>351</v>
      </c>
      <c r="B204" s="1">
        <v>2.0281E-2</v>
      </c>
      <c r="C204" s="1" t="str">
        <f>MID(CRYPTOWAT[[#This Row],[Name]],1,FIND(":",A204,1)-1)</f>
        <v>poloniex</v>
      </c>
      <c r="D204" s="1" t="str">
        <f>MID(CRYPTOWAT[[#This Row],[Name]],FIND(":",A204,1)+1,100)</f>
        <v>strusd</v>
      </c>
    </row>
    <row r="205" spans="1:4">
      <c r="A205" t="s">
        <v>352</v>
      </c>
      <c r="B205" s="1">
        <v>2.6540399999999999E-2</v>
      </c>
      <c r="C205" s="1" t="str">
        <f>MID(CRYPTOWAT[[#This Row],[Name]],1,FIND(":",A205,1)-1)</f>
        <v>poloniex</v>
      </c>
      <c r="D205" s="1" t="str">
        <f>MID(CRYPTOWAT[[#This Row],[Name]],FIND(":",A205,1)+1,100)</f>
        <v>xmrbtc</v>
      </c>
    </row>
    <row r="206" spans="1:4">
      <c r="A206" t="s">
        <v>353</v>
      </c>
      <c r="B206" s="1">
        <v>122.0385</v>
      </c>
      <c r="C206" s="1" t="str">
        <f>MID(CRYPTOWAT[[#This Row],[Name]],1,FIND(":",A206,1)-1)</f>
        <v>poloniex</v>
      </c>
      <c r="D206" s="1" t="str">
        <f>MID(CRYPTOWAT[[#This Row],[Name]],FIND(":",A206,1)+1,100)</f>
        <v>xmrusd</v>
      </c>
    </row>
    <row r="207" spans="1:4">
      <c r="A207" t="s">
        <v>354</v>
      </c>
      <c r="B207" s="1">
        <v>4.9169999999999998E-5</v>
      </c>
      <c r="C207" s="1" t="str">
        <f>MID(CRYPTOWAT[[#This Row],[Name]],1,FIND(":",A207,1)-1)</f>
        <v>poloniex</v>
      </c>
      <c r="D207" s="1" t="str">
        <f>MID(CRYPTOWAT[[#This Row],[Name]],FIND(":",A207,1)+1,100)</f>
        <v>xrpbtc</v>
      </c>
    </row>
    <row r="208" spans="1:4">
      <c r="A208" t="s">
        <v>355</v>
      </c>
      <c r="B208" s="1">
        <v>0.22500000000000001</v>
      </c>
      <c r="C208" s="1" t="str">
        <f>MID(CRYPTOWAT[[#This Row],[Name]],1,FIND(":",A208,1)-1)</f>
        <v>poloniex</v>
      </c>
      <c r="D208" s="1" t="str">
        <f>MID(CRYPTOWAT[[#This Row],[Name]],FIND(":",A208,1)+1,100)</f>
        <v>xrpusd</v>
      </c>
    </row>
    <row r="209" spans="1:4">
      <c r="A209" t="s">
        <v>356</v>
      </c>
      <c r="B209" s="1">
        <v>5.2729779999999997E-2</v>
      </c>
      <c r="C209" s="1" t="str">
        <f>MID(CRYPTOWAT[[#This Row],[Name]],1,FIND(":",A209,1)-1)</f>
        <v>poloniex</v>
      </c>
      <c r="D209" s="1" t="str">
        <f>MID(CRYPTOWAT[[#This Row],[Name]],FIND(":",A209,1)+1,100)</f>
        <v>zecbtc</v>
      </c>
    </row>
    <row r="210" spans="1:4">
      <c r="A210" t="s">
        <v>357</v>
      </c>
      <c r="B210" s="1">
        <v>0.73370000000000002</v>
      </c>
      <c r="C210" s="1" t="str">
        <f>MID(CRYPTOWAT[[#This Row],[Name]],1,FIND(":",A210,1)-1)</f>
        <v>poloniex</v>
      </c>
      <c r="D210" s="1" t="str">
        <f>MID(CRYPTOWAT[[#This Row],[Name]],FIND(":",A210,1)+1,100)</f>
        <v>zeceth</v>
      </c>
    </row>
    <row r="211" spans="1:4">
      <c r="A211" t="s">
        <v>358</v>
      </c>
      <c r="B211" s="1">
        <v>241.51599999999999</v>
      </c>
      <c r="C211" s="1" t="str">
        <f>MID(CRYPTOWAT[[#This Row],[Name]],1,FIND(":",A211,1)-1)</f>
        <v>poloniex</v>
      </c>
      <c r="D211" s="1" t="str">
        <f>MID(CRYPTOWAT[[#This Row],[Name]],FIND(":",A211,1)+1,100)</f>
        <v>zecusd</v>
      </c>
    </row>
    <row r="212" spans="1:4">
      <c r="A212" t="s">
        <v>359</v>
      </c>
      <c r="B212" s="1">
        <v>1.9837672</v>
      </c>
      <c r="C212" s="1" t="str">
        <f>MID(CRYPTOWAT[[#This Row],[Name]],1,FIND(":",A212,1)-1)</f>
        <v>poloniex</v>
      </c>
      <c r="D212" s="1" t="str">
        <f>MID(CRYPTOWAT[[#This Row],[Name]],FIND(":",A212,1)+1,100)</f>
        <v>zecxmr</v>
      </c>
    </row>
    <row r="213" spans="1:4">
      <c r="A213" t="s">
        <v>360</v>
      </c>
      <c r="B213" s="1">
        <v>5.0000000000000001E-3</v>
      </c>
      <c r="C213" s="1" t="str">
        <f>MID(CRYPTOWAT[[#This Row],[Name]],1,FIND(":",A213,1)-1)</f>
        <v>qryptos</v>
      </c>
      <c r="D213" s="1" t="str">
        <f>MID(CRYPTOWAT[[#This Row],[Name]],FIND(":",A213,1)+1,100)</f>
        <v>etcbtc</v>
      </c>
    </row>
    <row r="214" spans="1:4">
      <c r="A214" t="s">
        <v>361</v>
      </c>
      <c r="B214" s="1">
        <v>6.9330000000000003E-2</v>
      </c>
      <c r="C214" s="1" t="str">
        <f>MID(CRYPTOWAT[[#This Row],[Name]],1,FIND(":",A214,1)-1)</f>
        <v>qryptos</v>
      </c>
      <c r="D214" s="1" t="str">
        <f>MID(CRYPTOWAT[[#This Row],[Name]],FIND(":",A214,1)+1,100)</f>
        <v>ethbtc</v>
      </c>
    </row>
    <row r="215" spans="1:4">
      <c r="A215" t="s">
        <v>362</v>
      </c>
      <c r="B215" s="1">
        <v>1.7399999999999999E-2</v>
      </c>
      <c r="C215" s="1" t="str">
        <f>MID(CRYPTOWAT[[#This Row],[Name]],1,FIND(":",A215,1)-1)</f>
        <v>qryptos</v>
      </c>
      <c r="D215" s="1" t="str">
        <f>MID(CRYPTOWAT[[#This Row],[Name]],FIND(":",A215,1)+1,100)</f>
        <v>ltcbtc</v>
      </c>
    </row>
    <row r="216" spans="1:4">
      <c r="A216" t="s">
        <v>363</v>
      </c>
      <c r="B216" s="1">
        <v>0</v>
      </c>
      <c r="C216" s="1" t="str">
        <f>MID(CRYPTOWAT[[#This Row],[Name]],1,FIND(":",A216,1)-1)</f>
        <v>qryptos</v>
      </c>
      <c r="D216" s="1" t="str">
        <f>MID(CRYPTOWAT[[#This Row],[Name]],FIND(":",A216,1)+1,100)</f>
        <v>repbtc</v>
      </c>
    </row>
    <row r="217" spans="1:4">
      <c r="A217" t="s">
        <v>364</v>
      </c>
      <c r="B217" s="1">
        <v>2.4060000000000002E-2</v>
      </c>
      <c r="C217" s="1" t="str">
        <f>MID(CRYPTOWAT[[#This Row],[Name]],1,FIND(":",A217,1)-1)</f>
        <v>qryptos</v>
      </c>
      <c r="D217" s="1" t="str">
        <f>MID(CRYPTOWAT[[#This Row],[Name]],FIND(":",A217,1)+1,100)</f>
        <v>xmrbtc</v>
      </c>
    </row>
    <row r="218" spans="1:4">
      <c r="A218" t="s">
        <v>365</v>
      </c>
      <c r="B218" s="1">
        <v>3.0000000000000001E-5</v>
      </c>
      <c r="C218" s="1" t="str">
        <f>MID(CRYPTOWAT[[#This Row],[Name]],1,FIND(":",A218,1)-1)</f>
        <v>qryptos</v>
      </c>
      <c r="D218" s="1" t="str">
        <f>MID(CRYPTOWAT[[#This Row],[Name]],FIND(":",A218,1)+1,100)</f>
        <v>xrpbtc</v>
      </c>
    </row>
    <row r="219" spans="1:4">
      <c r="A219" t="s">
        <v>366</v>
      </c>
      <c r="B219" s="1">
        <v>2.5999999999999999E-3</v>
      </c>
      <c r="C219" s="1" t="str">
        <f>MID(CRYPTOWAT[[#This Row],[Name]],1,FIND(":",A219,1)-1)</f>
        <v>qryptos</v>
      </c>
      <c r="D219" s="1" t="str">
        <f>MID(CRYPTOWAT[[#This Row],[Name]],FIND(":",A219,1)+1,100)</f>
        <v>zecbtc</v>
      </c>
    </row>
    <row r="220" spans="1:4">
      <c r="A220" t="s">
        <v>367</v>
      </c>
      <c r="B220" s="1">
        <v>71000</v>
      </c>
      <c r="C220" s="1" t="str">
        <f>MID(CRYPTOWAT[[#This Row],[Name]],1,FIND(":",A220,1)-1)</f>
        <v>quoine</v>
      </c>
      <c r="D220" s="1" t="str">
        <f>MID(CRYPTOWAT[[#This Row],[Name]],FIND(":",A220,1)+1,100)</f>
        <v>bchjpy</v>
      </c>
    </row>
    <row r="221" spans="1:4">
      <c r="A221" t="s">
        <v>368</v>
      </c>
      <c r="B221" s="1">
        <v>501</v>
      </c>
      <c r="C221" s="1" t="str">
        <f>MID(CRYPTOWAT[[#This Row],[Name]],1,FIND(":",A221,1)-1)</f>
        <v>quoine</v>
      </c>
      <c r="D221" s="1" t="str">
        <f>MID(CRYPTOWAT[[#This Row],[Name]],FIND(":",A221,1)+1,100)</f>
        <v>bchsgd</v>
      </c>
    </row>
    <row r="222" spans="1:4">
      <c r="A222" t="s">
        <v>369</v>
      </c>
      <c r="B222" s="1">
        <v>675</v>
      </c>
      <c r="C222" s="1" t="str">
        <f>MID(CRYPTOWAT[[#This Row],[Name]],1,FIND(":",A222,1)-1)</f>
        <v>quoine</v>
      </c>
      <c r="D222" s="1" t="str">
        <f>MID(CRYPTOWAT[[#This Row],[Name]],FIND(":",A222,1)+1,100)</f>
        <v>bchusd</v>
      </c>
    </row>
    <row r="223" spans="1:4">
      <c r="A223" t="s">
        <v>370</v>
      </c>
      <c r="B223" s="1">
        <v>5672.009</v>
      </c>
      <c r="C223" s="1" t="str">
        <f>MID(CRYPTOWAT[[#This Row],[Name]],1,FIND(":",A223,1)-1)</f>
        <v>quoine</v>
      </c>
      <c r="D223" s="1" t="str">
        <f>MID(CRYPTOWAT[[#This Row],[Name]],FIND(":",A223,1)+1,100)</f>
        <v>btcaud</v>
      </c>
    </row>
    <row r="224" spans="1:4">
      <c r="A224" t="s">
        <v>371</v>
      </c>
      <c r="B224" s="1">
        <v>30000</v>
      </c>
      <c r="C224" s="1" t="str">
        <f>MID(CRYPTOWAT[[#This Row],[Name]],1,FIND(":",A224,1)-1)</f>
        <v>quoine</v>
      </c>
      <c r="D224" s="1" t="str">
        <f>MID(CRYPTOWAT[[#This Row],[Name]],FIND(":",A224,1)+1,100)</f>
        <v>btccny</v>
      </c>
    </row>
    <row r="225" spans="1:4">
      <c r="A225" t="s">
        <v>372</v>
      </c>
      <c r="B225" s="1">
        <v>3808.2006999999999</v>
      </c>
      <c r="C225" s="1" t="str">
        <f>MID(CRYPTOWAT[[#This Row],[Name]],1,FIND(":",A225,1)-1)</f>
        <v>quoine</v>
      </c>
      <c r="D225" s="1" t="str">
        <f>MID(CRYPTOWAT[[#This Row],[Name]],FIND(":",A225,1)+1,100)</f>
        <v>btceur</v>
      </c>
    </row>
    <row r="226" spans="1:4">
      <c r="A226" t="s">
        <v>373</v>
      </c>
      <c r="B226" s="1">
        <v>35919.902000000002</v>
      </c>
      <c r="C226" s="1" t="str">
        <f>MID(CRYPTOWAT[[#This Row],[Name]],1,FIND(":",A226,1)-1)</f>
        <v>quoine</v>
      </c>
      <c r="D226" s="1" t="str">
        <f>MID(CRYPTOWAT[[#This Row],[Name]],FIND(":",A226,1)+1,100)</f>
        <v>btchkd</v>
      </c>
    </row>
    <row r="227" spans="1:4">
      <c r="A227" t="s">
        <v>374</v>
      </c>
      <c r="B227" s="1">
        <v>60987710</v>
      </c>
      <c r="C227" s="1" t="str">
        <f>MID(CRYPTOWAT[[#This Row],[Name]],1,FIND(":",A227,1)-1)</f>
        <v>quoine</v>
      </c>
      <c r="D227" s="1" t="str">
        <f>MID(CRYPTOWAT[[#This Row],[Name]],FIND(":",A227,1)+1,100)</f>
        <v>btcidr</v>
      </c>
    </row>
    <row r="228" spans="1:4">
      <c r="A228" t="s">
        <v>375</v>
      </c>
      <c r="B228" s="1">
        <v>281000</v>
      </c>
      <c r="C228" s="1" t="str">
        <f>MID(CRYPTOWAT[[#This Row],[Name]],1,FIND(":",A228,1)-1)</f>
        <v>quoine</v>
      </c>
      <c r="D228" s="1" t="str">
        <f>MID(CRYPTOWAT[[#This Row],[Name]],FIND(":",A228,1)+1,100)</f>
        <v>btcinr</v>
      </c>
    </row>
    <row r="229" spans="1:4">
      <c r="A229" t="s">
        <v>376</v>
      </c>
      <c r="B229" s="1">
        <v>498644</v>
      </c>
      <c r="C229" s="1" t="str">
        <f>MID(CRYPTOWAT[[#This Row],[Name]],1,FIND(":",A229,1)-1)</f>
        <v>quoine</v>
      </c>
      <c r="D229" s="1" t="str">
        <f>MID(CRYPTOWAT[[#This Row],[Name]],FIND(":",A229,1)+1,100)</f>
        <v>btcjpy</v>
      </c>
    </row>
    <row r="230" spans="1:4">
      <c r="A230" t="s">
        <v>377</v>
      </c>
      <c r="B230" s="1">
        <v>233529.42</v>
      </c>
      <c r="C230" s="1" t="str">
        <f>MID(CRYPTOWAT[[#This Row],[Name]],1,FIND(":",A230,1)-1)</f>
        <v>quoine</v>
      </c>
      <c r="D230" s="1" t="str">
        <f>MID(CRYPTOWAT[[#This Row],[Name]],FIND(":",A230,1)+1,100)</f>
        <v>btcphp</v>
      </c>
    </row>
    <row r="231" spans="1:4">
      <c r="A231" t="s">
        <v>378</v>
      </c>
      <c r="B231" s="1">
        <v>6155</v>
      </c>
      <c r="C231" s="1" t="str">
        <f>MID(CRYPTOWAT[[#This Row],[Name]],1,FIND(":",A231,1)-1)</f>
        <v>quoine</v>
      </c>
      <c r="D231" s="1" t="str">
        <f>MID(CRYPTOWAT[[#This Row],[Name]],FIND(":",A231,1)+1,100)</f>
        <v>btcsgd</v>
      </c>
    </row>
    <row r="232" spans="1:4">
      <c r="A232" t="s">
        <v>379</v>
      </c>
      <c r="B232" s="1">
        <v>4602.018</v>
      </c>
      <c r="C232" s="1" t="str">
        <f>MID(CRYPTOWAT[[#This Row],[Name]],1,FIND(":",A232,1)-1)</f>
        <v>quoine</v>
      </c>
      <c r="D232" s="1" t="str">
        <f>MID(CRYPTOWAT[[#This Row],[Name]],FIND(":",A232,1)+1,100)</f>
        <v>btcusd</v>
      </c>
    </row>
    <row r="233" spans="1:4">
      <c r="A233" t="s">
        <v>380</v>
      </c>
      <c r="B233" s="1">
        <v>409.17165999999997</v>
      </c>
      <c r="C233" s="1" t="str">
        <f>MID(CRYPTOWAT[[#This Row],[Name]],1,FIND(":",A233,1)-1)</f>
        <v>quoine</v>
      </c>
      <c r="D233" s="1" t="str">
        <f>MID(CRYPTOWAT[[#This Row],[Name]],FIND(":",A233,1)+1,100)</f>
        <v>ethaud</v>
      </c>
    </row>
    <row r="234" spans="1:4">
      <c r="A234" t="s">
        <v>381</v>
      </c>
      <c r="B234" s="1">
        <v>7.9000000000000001E-2</v>
      </c>
      <c r="C234" s="1" t="str">
        <f>MID(CRYPTOWAT[[#This Row],[Name]],1,FIND(":",A234,1)-1)</f>
        <v>quoine</v>
      </c>
      <c r="D234" s="1" t="str">
        <f>MID(CRYPTOWAT[[#This Row],[Name]],FIND(":",A234,1)+1,100)</f>
        <v>ethbtc</v>
      </c>
    </row>
    <row r="235" spans="1:4">
      <c r="A235" t="s">
        <v>382</v>
      </c>
      <c r="B235" s="1">
        <v>0</v>
      </c>
      <c r="C235" s="1" t="str">
        <f>MID(CRYPTOWAT[[#This Row],[Name]],1,FIND(":",A235,1)-1)</f>
        <v>quoine</v>
      </c>
      <c r="D235" s="1" t="str">
        <f>MID(CRYPTOWAT[[#This Row],[Name]],FIND(":",A235,1)+1,100)</f>
        <v>ethcny</v>
      </c>
    </row>
    <row r="236" spans="1:4">
      <c r="A236" t="s">
        <v>383</v>
      </c>
      <c r="B236" s="1">
        <v>221.49857</v>
      </c>
      <c r="C236" s="1" t="str">
        <f>MID(CRYPTOWAT[[#This Row],[Name]],1,FIND(":",A236,1)-1)</f>
        <v>quoine</v>
      </c>
      <c r="D236" s="1" t="str">
        <f>MID(CRYPTOWAT[[#This Row],[Name]],FIND(":",A236,1)+1,100)</f>
        <v>etheur</v>
      </c>
    </row>
    <row r="237" spans="1:4">
      <c r="A237" t="s">
        <v>384</v>
      </c>
      <c r="B237" s="1">
        <v>0</v>
      </c>
      <c r="C237" s="1" t="str">
        <f>MID(CRYPTOWAT[[#This Row],[Name]],1,FIND(":",A237,1)-1)</f>
        <v>quoine</v>
      </c>
      <c r="D237" s="1" t="str">
        <f>MID(CRYPTOWAT[[#This Row],[Name]],FIND(":",A237,1)+1,100)</f>
        <v>ethhkd</v>
      </c>
    </row>
    <row r="238" spans="1:4">
      <c r="A238" t="s">
        <v>385</v>
      </c>
      <c r="B238" s="1">
        <v>142957.22</v>
      </c>
      <c r="C238" s="1" t="str">
        <f>MID(CRYPTOWAT[[#This Row],[Name]],1,FIND(":",A238,1)-1)</f>
        <v>quoine</v>
      </c>
      <c r="D238" s="1" t="str">
        <f>MID(CRYPTOWAT[[#This Row],[Name]],FIND(":",A238,1)+1,100)</f>
        <v>ethidr</v>
      </c>
    </row>
    <row r="239" spans="1:4">
      <c r="A239" t="s">
        <v>386</v>
      </c>
      <c r="B239" s="1">
        <v>0</v>
      </c>
      <c r="C239" s="1" t="str">
        <f>MID(CRYPTOWAT[[#This Row],[Name]],1,FIND(":",A239,1)-1)</f>
        <v>quoine</v>
      </c>
      <c r="D239" s="1" t="str">
        <f>MID(CRYPTOWAT[[#This Row],[Name]],FIND(":",A239,1)+1,100)</f>
        <v>ethinr</v>
      </c>
    </row>
    <row r="240" spans="1:4">
      <c r="A240" t="s">
        <v>387</v>
      </c>
      <c r="B240" s="1">
        <v>36130.144999999997</v>
      </c>
      <c r="C240" s="1" t="str">
        <f>MID(CRYPTOWAT[[#This Row],[Name]],1,FIND(":",A240,1)-1)</f>
        <v>quoine</v>
      </c>
      <c r="D240" s="1" t="str">
        <f>MID(CRYPTOWAT[[#This Row],[Name]],FIND(":",A240,1)+1,100)</f>
        <v>ethjpy</v>
      </c>
    </row>
    <row r="241" spans="1:4">
      <c r="A241" t="s">
        <v>388</v>
      </c>
      <c r="B241" s="1">
        <v>16997.810000000001</v>
      </c>
      <c r="C241" s="1" t="str">
        <f>MID(CRYPTOWAT[[#This Row],[Name]],1,FIND(":",A241,1)-1)</f>
        <v>quoine</v>
      </c>
      <c r="D241" s="1" t="str">
        <f>MID(CRYPTOWAT[[#This Row],[Name]],FIND(":",A241,1)+1,100)</f>
        <v>ethphp</v>
      </c>
    </row>
    <row r="242" spans="1:4">
      <c r="A242" t="s">
        <v>389</v>
      </c>
      <c r="B242" s="1">
        <v>453.12765999999999</v>
      </c>
      <c r="C242" s="1" t="str">
        <f>MID(CRYPTOWAT[[#This Row],[Name]],1,FIND(":",A242,1)-1)</f>
        <v>quoine</v>
      </c>
      <c r="D242" s="1" t="str">
        <f>MID(CRYPTOWAT[[#This Row],[Name]],FIND(":",A242,1)+1,100)</f>
        <v>ethsgd</v>
      </c>
    </row>
    <row r="243" spans="1:4">
      <c r="A243" t="s">
        <v>390</v>
      </c>
      <c r="B243" s="1">
        <v>332.82718</v>
      </c>
      <c r="C243" s="1" t="str">
        <f>MID(CRYPTOWAT[[#This Row],[Name]],1,FIND(":",A243,1)-1)</f>
        <v>quoine</v>
      </c>
      <c r="D243" s="1" t="str">
        <f>MID(CRYPTOWAT[[#This Row],[Name]],FIND(":",A243,1)+1,100)</f>
        <v>ethusd</v>
      </c>
    </row>
    <row r="244" spans="1:4">
      <c r="B244" s="1"/>
    </row>
    <row r="245" spans="1:4">
      <c r="A245" s="1"/>
      <c r="B245" s="1"/>
    </row>
    <row r="246" spans="1:4">
      <c r="A246" s="1"/>
      <c r="B246" s="1"/>
    </row>
    <row r="247" spans="1:4">
      <c r="A247" s="1"/>
      <c r="B247" s="1"/>
    </row>
    <row r="248" spans="1:4">
      <c r="A248" s="1"/>
      <c r="B248" s="1"/>
    </row>
    <row r="249" spans="1:4">
      <c r="A249" s="1"/>
      <c r="B249" s="1"/>
    </row>
    <row r="250" spans="1:4">
      <c r="A250" s="1"/>
      <c r="B250" s="1"/>
    </row>
    <row r="251" spans="1:4">
      <c r="A251" s="1"/>
      <c r="B251" s="1"/>
    </row>
    <row r="252" spans="1:4">
      <c r="A252" s="1"/>
      <c r="B252" s="1"/>
    </row>
    <row r="253" spans="1:4">
      <c r="A253" s="1"/>
      <c r="B253" s="1"/>
    </row>
    <row r="254" spans="1:4">
      <c r="A254" s="1"/>
      <c r="B254" s="1"/>
    </row>
    <row r="255" spans="1:4">
      <c r="A255" s="1"/>
      <c r="B255" s="1"/>
    </row>
    <row r="256" spans="1:4">
      <c r="A256" s="1"/>
      <c r="B256" s="1"/>
    </row>
    <row r="257" spans="1:2">
      <c r="A257" s="1"/>
      <c r="B257" s="1"/>
    </row>
  </sheetData>
  <pageMargins left="0.7" right="0.7" top="0.75" bottom="0.75" header="0.3" footer="0.3"/>
  <pageSetup paperSize="9" orientation="portrait" verticalDpi="0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A1:K21"/>
  <sheetViews>
    <sheetView topLeftCell="B1" workbookViewId="0">
      <selection sqref="A1:I21"/>
    </sheetView>
  </sheetViews>
  <sheetFormatPr defaultRowHeight="13.8"/>
  <cols>
    <col min="1" max="1" width="8.19921875" hidden="1" customWidth="1"/>
    <col min="2" max="2" width="25.09765625" bestFit="1" customWidth="1"/>
    <col min="3" max="3" width="27.5" bestFit="1" customWidth="1"/>
    <col min="4" max="4" width="15.3984375" bestFit="1" customWidth="1"/>
    <col min="5" max="5" width="17.5" bestFit="1" customWidth="1"/>
    <col min="6" max="6" width="24" bestFit="1" customWidth="1"/>
    <col min="7" max="7" width="14.3984375" bestFit="1" customWidth="1"/>
    <col min="8" max="8" width="8.5" bestFit="1" customWidth="1"/>
    <col min="9" max="9" width="13.19921875" bestFit="1" customWidth="1"/>
    <col min="10" max="10" width="12.5" bestFit="1" customWidth="1"/>
    <col min="11" max="11" width="11.8984375" style="12" bestFit="1" customWidth="1"/>
  </cols>
  <sheetData>
    <row r="1" spans="1:11">
      <c r="A1" t="s">
        <v>105</v>
      </c>
      <c r="B1" s="1" t="s">
        <v>106</v>
      </c>
      <c r="C1" s="1" t="s">
        <v>107</v>
      </c>
      <c r="D1" s="1" t="s">
        <v>108</v>
      </c>
      <c r="E1" s="1" t="s">
        <v>109</v>
      </c>
      <c r="F1" t="s">
        <v>110</v>
      </c>
      <c r="G1" s="22" t="s">
        <v>86</v>
      </c>
      <c r="H1" s="23" t="s">
        <v>17</v>
      </c>
      <c r="I1" s="28" t="s">
        <v>79</v>
      </c>
      <c r="K1"/>
    </row>
    <row r="2" spans="1:11">
      <c r="A2" s="1" t="s">
        <v>111</v>
      </c>
      <c r="B2" s="1" t="s">
        <v>112</v>
      </c>
      <c r="C2" s="1" t="s">
        <v>113</v>
      </c>
      <c r="D2" s="1">
        <v>-0.41</v>
      </c>
      <c r="E2" s="1">
        <v>147500</v>
      </c>
      <c r="F2">
        <v>505.86112960999998</v>
      </c>
      <c r="G2" s="29" t="str">
        <f t="shared" ref="G2:G21" si="0">LOWER(CONCATENATE("bxinth:",$C2,$B2))</f>
        <v>bxinth:btcthb</v>
      </c>
      <c r="H2" s="26" t="str">
        <f t="shared" ref="H2:H21" si="1">LOWER(CONCATENATE($C2,$B2))</f>
        <v>btcthb</v>
      </c>
      <c r="I2" s="30">
        <f t="shared" ref="I2:I21" si="2">$E2</f>
        <v>147500</v>
      </c>
      <c r="K2"/>
    </row>
    <row r="3" spans="1:11">
      <c r="A3" s="1" t="s">
        <v>114</v>
      </c>
      <c r="B3" s="1" t="s">
        <v>112</v>
      </c>
      <c r="C3" s="1" t="s">
        <v>115</v>
      </c>
      <c r="D3" s="1">
        <v>-1.47</v>
      </c>
      <c r="E3" s="1">
        <v>10652</v>
      </c>
      <c r="F3">
        <v>3078.1508664500002</v>
      </c>
      <c r="G3" s="29" t="str">
        <f t="shared" si="0"/>
        <v>bxinth:eththb</v>
      </c>
      <c r="H3" s="26" t="str">
        <f t="shared" si="1"/>
        <v>eththb</v>
      </c>
      <c r="I3" s="30">
        <f t="shared" si="2"/>
        <v>10652</v>
      </c>
      <c r="K3"/>
    </row>
    <row r="4" spans="1:11">
      <c r="A4" s="1" t="s">
        <v>116</v>
      </c>
      <c r="B4" s="1" t="s">
        <v>112</v>
      </c>
      <c r="C4" s="1" t="s">
        <v>117</v>
      </c>
      <c r="D4" s="1">
        <v>0.68</v>
      </c>
      <c r="E4" s="1">
        <v>11009</v>
      </c>
      <c r="F4">
        <v>61.19088842</v>
      </c>
      <c r="G4" s="29" t="str">
        <f t="shared" si="0"/>
        <v>bxinth:dasthb</v>
      </c>
      <c r="H4" s="26" t="str">
        <f t="shared" si="1"/>
        <v>dasthb</v>
      </c>
      <c r="I4" s="30">
        <f t="shared" si="2"/>
        <v>11009</v>
      </c>
      <c r="K4"/>
    </row>
    <row r="5" spans="1:11">
      <c r="A5" s="1" t="s">
        <v>118</v>
      </c>
      <c r="B5" s="1" t="s">
        <v>112</v>
      </c>
      <c r="C5" s="1" t="s">
        <v>119</v>
      </c>
      <c r="D5" s="1">
        <v>-1.3</v>
      </c>
      <c r="E5" s="1">
        <v>760.01100000999998</v>
      </c>
      <c r="F5">
        <v>175.57042921999999</v>
      </c>
      <c r="G5" s="29" t="str">
        <f t="shared" si="0"/>
        <v>bxinth:repthb</v>
      </c>
      <c r="H5" s="26" t="str">
        <f t="shared" si="1"/>
        <v>repthb</v>
      </c>
      <c r="I5" s="30">
        <f t="shared" si="2"/>
        <v>760.01100000999998</v>
      </c>
      <c r="K5"/>
    </row>
    <row r="6" spans="1:11">
      <c r="A6" s="1" t="s">
        <v>120</v>
      </c>
      <c r="B6" s="1" t="s">
        <v>113</v>
      </c>
      <c r="C6" s="1" t="s">
        <v>115</v>
      </c>
      <c r="D6" s="1">
        <v>-0.98</v>
      </c>
      <c r="E6" s="1">
        <v>7.0900009999999999E-2</v>
      </c>
      <c r="F6">
        <v>44.400836259999998</v>
      </c>
      <c r="G6" s="29" t="str">
        <f t="shared" si="0"/>
        <v>bxinth:ethbtc</v>
      </c>
      <c r="H6" s="26" t="str">
        <f t="shared" si="1"/>
        <v>ethbtc</v>
      </c>
      <c r="I6" s="30">
        <f t="shared" si="2"/>
        <v>7.0900009999999999E-2</v>
      </c>
      <c r="K6"/>
    </row>
    <row r="7" spans="1:11">
      <c r="A7" s="1" t="s">
        <v>121</v>
      </c>
      <c r="B7" s="1" t="s">
        <v>113</v>
      </c>
      <c r="C7" s="1" t="s">
        <v>122</v>
      </c>
      <c r="D7" s="1">
        <v>-4.4400000000000004</v>
      </c>
      <c r="E7" s="1">
        <v>4.3000000000000001E-7</v>
      </c>
      <c r="F7">
        <v>4042979.5065947999</v>
      </c>
      <c r="G7" s="29" t="str">
        <f t="shared" si="0"/>
        <v>bxinth:dogbtc</v>
      </c>
      <c r="H7" s="26" t="str">
        <f t="shared" si="1"/>
        <v>dogbtc</v>
      </c>
      <c r="I7" s="30">
        <f t="shared" si="2"/>
        <v>4.3000000000000001E-7</v>
      </c>
      <c r="K7"/>
    </row>
    <row r="8" spans="1:11">
      <c r="A8" s="1" t="s">
        <v>123</v>
      </c>
      <c r="B8" s="1" t="s">
        <v>113</v>
      </c>
      <c r="C8" s="1" t="s">
        <v>124</v>
      </c>
      <c r="D8" s="1">
        <v>0</v>
      </c>
      <c r="E8" s="1">
        <v>1.0139999999999999E-5</v>
      </c>
      <c r="F8">
        <v>61</v>
      </c>
      <c r="G8" s="29" t="str">
        <f t="shared" si="0"/>
        <v>bxinth:ftcbtc</v>
      </c>
      <c r="H8" s="26" t="str">
        <f t="shared" si="1"/>
        <v>ftcbtc</v>
      </c>
      <c r="I8" s="30">
        <f t="shared" si="2"/>
        <v>1.0139999999999999E-5</v>
      </c>
      <c r="K8"/>
    </row>
    <row r="9" spans="1:11">
      <c r="A9" s="1" t="s">
        <v>125</v>
      </c>
      <c r="B9" s="1" t="s">
        <v>112</v>
      </c>
      <c r="C9" s="1" t="s">
        <v>126</v>
      </c>
      <c r="D9" s="1">
        <v>-1.5</v>
      </c>
      <c r="E9" s="1">
        <v>5120</v>
      </c>
      <c r="F9">
        <v>41.710676300000003</v>
      </c>
      <c r="G9" s="29" t="str">
        <f t="shared" si="0"/>
        <v>bxinth:gnothb</v>
      </c>
      <c r="H9" s="26" t="str">
        <f t="shared" si="1"/>
        <v>gnothb</v>
      </c>
      <c r="I9" s="30">
        <f t="shared" si="2"/>
        <v>5120</v>
      </c>
      <c r="K9"/>
    </row>
    <row r="10" spans="1:11">
      <c r="A10" s="1" t="s">
        <v>127</v>
      </c>
      <c r="B10" s="1" t="s">
        <v>113</v>
      </c>
      <c r="C10" s="1" t="s">
        <v>128</v>
      </c>
      <c r="D10" s="1">
        <v>0</v>
      </c>
      <c r="E10" s="1">
        <v>4.4000000000000002E-7</v>
      </c>
      <c r="F10">
        <v>24942.907075499999</v>
      </c>
      <c r="G10" s="29" t="str">
        <f t="shared" si="0"/>
        <v>bxinth:hypbtc</v>
      </c>
      <c r="H10" s="26" t="str">
        <f t="shared" si="1"/>
        <v>hypbtc</v>
      </c>
      <c r="I10" s="30">
        <f t="shared" si="2"/>
        <v>4.4000000000000002E-7</v>
      </c>
      <c r="K10"/>
    </row>
    <row r="11" spans="1:11">
      <c r="A11" s="1" t="s">
        <v>129</v>
      </c>
      <c r="B11" s="1" t="s">
        <v>113</v>
      </c>
      <c r="C11" s="1" t="s">
        <v>130</v>
      </c>
      <c r="D11" s="1">
        <v>-1.61</v>
      </c>
      <c r="E11" s="1">
        <v>1.7250000000000001E-2</v>
      </c>
      <c r="F11">
        <v>470.18445555</v>
      </c>
      <c r="G11" s="29" t="str">
        <f t="shared" si="0"/>
        <v>bxinth:ltcbtc</v>
      </c>
      <c r="H11" s="26" t="str">
        <f t="shared" si="1"/>
        <v>ltcbtc</v>
      </c>
      <c r="I11" s="30">
        <f t="shared" si="2"/>
        <v>1.7250000000000001E-2</v>
      </c>
      <c r="K11"/>
    </row>
    <row r="12" spans="1:11">
      <c r="A12" s="1" t="s">
        <v>131</v>
      </c>
      <c r="B12" s="1" t="s">
        <v>113</v>
      </c>
      <c r="C12" s="1" t="s">
        <v>132</v>
      </c>
      <c r="D12" s="1">
        <v>0</v>
      </c>
      <c r="E12" s="1">
        <v>4.0099999999999999E-4</v>
      </c>
      <c r="F12">
        <v>0</v>
      </c>
      <c r="G12" s="29" t="str">
        <f t="shared" si="0"/>
        <v>bxinth:nmcbtc</v>
      </c>
      <c r="H12" s="26" t="str">
        <f t="shared" si="1"/>
        <v>nmcbtc</v>
      </c>
      <c r="I12" s="30">
        <f t="shared" si="2"/>
        <v>4.0099999999999999E-4</v>
      </c>
      <c r="K12"/>
    </row>
    <row r="13" spans="1:11">
      <c r="A13" s="1" t="s">
        <v>133</v>
      </c>
      <c r="B13" s="1" t="s">
        <v>112</v>
      </c>
      <c r="C13" s="1" t="s">
        <v>134</v>
      </c>
      <c r="D13" s="1">
        <v>9.26</v>
      </c>
      <c r="E13" s="1">
        <v>407</v>
      </c>
      <c r="F13">
        <v>649923.81332692003</v>
      </c>
      <c r="G13" s="29" t="str">
        <f t="shared" si="0"/>
        <v>bxinth:omgthb</v>
      </c>
      <c r="H13" s="26" t="str">
        <f t="shared" si="1"/>
        <v>omgthb</v>
      </c>
      <c r="I13" s="30">
        <f t="shared" si="2"/>
        <v>407</v>
      </c>
      <c r="K13"/>
    </row>
    <row r="14" spans="1:11">
      <c r="A14" s="1" t="s">
        <v>135</v>
      </c>
      <c r="B14" s="1" t="s">
        <v>113</v>
      </c>
      <c r="C14" s="1" t="s">
        <v>136</v>
      </c>
      <c r="D14" s="1">
        <v>0</v>
      </c>
      <c r="E14" s="1">
        <v>1E-8</v>
      </c>
      <c r="F14">
        <v>1803161.7975000001</v>
      </c>
      <c r="G14" s="29" t="str">
        <f t="shared" si="0"/>
        <v>bxinth:pndbtc</v>
      </c>
      <c r="H14" s="26" t="str">
        <f t="shared" si="1"/>
        <v>pndbtc</v>
      </c>
      <c r="I14" s="30">
        <f t="shared" si="2"/>
        <v>1E-8</v>
      </c>
      <c r="K14"/>
    </row>
    <row r="15" spans="1:11">
      <c r="A15" s="1" t="s">
        <v>137</v>
      </c>
      <c r="B15" s="1" t="s">
        <v>113</v>
      </c>
      <c r="C15" s="1" t="s">
        <v>138</v>
      </c>
      <c r="D15" s="1">
        <v>0</v>
      </c>
      <c r="E15" s="1">
        <v>3.1117999999999999E-4</v>
      </c>
      <c r="F15">
        <v>0</v>
      </c>
      <c r="G15" s="29" t="str">
        <f t="shared" si="0"/>
        <v>bxinth:ppcbtc</v>
      </c>
      <c r="H15" s="26" t="str">
        <f t="shared" si="1"/>
        <v>ppcbtc</v>
      </c>
      <c r="I15" s="30">
        <f t="shared" si="2"/>
        <v>3.1117999999999999E-4</v>
      </c>
      <c r="K15"/>
    </row>
    <row r="16" spans="1:11">
      <c r="A16" s="1" t="s">
        <v>139</v>
      </c>
      <c r="B16" s="1" t="s">
        <v>113</v>
      </c>
      <c r="C16" s="1" t="s">
        <v>140</v>
      </c>
      <c r="D16" s="1">
        <v>0.43</v>
      </c>
      <c r="E16" s="1">
        <v>6.9999999999999999E-6</v>
      </c>
      <c r="F16">
        <v>1528.40569448</v>
      </c>
      <c r="G16" s="29" t="str">
        <f t="shared" si="0"/>
        <v>bxinth:qrkbtc</v>
      </c>
      <c r="H16" s="26" t="str">
        <f t="shared" si="1"/>
        <v>qrkbtc</v>
      </c>
      <c r="I16" s="30">
        <f t="shared" si="2"/>
        <v>6.9999999999999999E-6</v>
      </c>
      <c r="K16"/>
    </row>
    <row r="17" spans="1:11">
      <c r="A17" s="1" t="s">
        <v>141</v>
      </c>
      <c r="B17" s="1" t="s">
        <v>113</v>
      </c>
      <c r="C17" s="1" t="s">
        <v>142</v>
      </c>
      <c r="D17" s="1">
        <v>-3.14</v>
      </c>
      <c r="E17" s="1">
        <v>1.5400000000000001E-6</v>
      </c>
      <c r="F17">
        <v>664.56818181000006</v>
      </c>
      <c r="G17" s="29" t="str">
        <f t="shared" si="0"/>
        <v>bxinth:xcnbtc</v>
      </c>
      <c r="H17" s="26" t="str">
        <f t="shared" si="1"/>
        <v>xcnbtc</v>
      </c>
      <c r="I17" s="30">
        <f t="shared" si="2"/>
        <v>1.5400000000000001E-6</v>
      </c>
      <c r="K17"/>
    </row>
    <row r="18" spans="1:11">
      <c r="A18" s="1" t="s">
        <v>143</v>
      </c>
      <c r="B18" s="1" t="s">
        <v>113</v>
      </c>
      <c r="C18" s="1" t="s">
        <v>144</v>
      </c>
      <c r="D18" s="1">
        <v>0</v>
      </c>
      <c r="E18" s="1">
        <v>6.5160000000000006E-5</v>
      </c>
      <c r="F18">
        <v>26.560257360000001</v>
      </c>
      <c r="G18" s="29" t="str">
        <f t="shared" si="0"/>
        <v>bxinth:xpmbtc</v>
      </c>
      <c r="H18" s="26" t="str">
        <f t="shared" si="1"/>
        <v>xpmbtc</v>
      </c>
      <c r="I18" s="30">
        <f t="shared" si="2"/>
        <v>6.5160000000000006E-5</v>
      </c>
      <c r="K18"/>
    </row>
    <row r="19" spans="1:11">
      <c r="A19" s="1" t="s">
        <v>145</v>
      </c>
      <c r="B19" s="1" t="s">
        <v>113</v>
      </c>
      <c r="C19" s="1" t="s">
        <v>146</v>
      </c>
      <c r="D19" s="1">
        <v>-37.5</v>
      </c>
      <c r="E19" s="1">
        <v>3.1E-6</v>
      </c>
      <c r="F19">
        <v>91349.13900712</v>
      </c>
      <c r="G19" s="29" t="str">
        <f t="shared" si="0"/>
        <v>bxinth:xpybtc</v>
      </c>
      <c r="H19" s="26" t="str">
        <f t="shared" si="1"/>
        <v>xpybtc</v>
      </c>
      <c r="I19" s="30">
        <f t="shared" si="2"/>
        <v>3.1E-6</v>
      </c>
      <c r="K19"/>
    </row>
    <row r="20" spans="1:11">
      <c r="A20" s="1" t="s">
        <v>147</v>
      </c>
      <c r="B20" s="1" t="s">
        <v>112</v>
      </c>
      <c r="C20" s="1" t="s">
        <v>148</v>
      </c>
      <c r="D20" s="1">
        <v>-1.48</v>
      </c>
      <c r="E20" s="1">
        <v>7.32</v>
      </c>
      <c r="F20">
        <v>2082517.159922</v>
      </c>
      <c r="G20" s="29" t="str">
        <f t="shared" si="0"/>
        <v>bxinth:xrpthb</v>
      </c>
      <c r="H20" s="26" t="str">
        <f t="shared" si="1"/>
        <v>xrpthb</v>
      </c>
      <c r="I20" s="30">
        <f t="shared" si="2"/>
        <v>7.32</v>
      </c>
      <c r="K20"/>
    </row>
    <row r="21" spans="1:11" ht="14.4" thickBot="1">
      <c r="A21" s="1" t="s">
        <v>149</v>
      </c>
      <c r="B21" s="1" t="s">
        <v>113</v>
      </c>
      <c r="C21" s="1" t="s">
        <v>150</v>
      </c>
      <c r="D21" s="1">
        <v>-1.02</v>
      </c>
      <c r="E21" s="1">
        <v>5.2357010000000002E-2</v>
      </c>
      <c r="F21">
        <v>26.98618574</v>
      </c>
      <c r="G21" s="31" t="str">
        <f t="shared" si="0"/>
        <v>bxinth:zecbtc</v>
      </c>
      <c r="H21" s="32" t="str">
        <f t="shared" si="1"/>
        <v>zecbtc</v>
      </c>
      <c r="I21" s="33">
        <f t="shared" si="2"/>
        <v>5.2357010000000002E-2</v>
      </c>
      <c r="K2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P260"/>
  <sheetViews>
    <sheetView workbookViewId="0">
      <selection sqref="A1:P258"/>
    </sheetView>
  </sheetViews>
  <sheetFormatPr defaultColWidth="14.09765625" defaultRowHeight="13.8"/>
  <cols>
    <col min="1" max="1" width="23.5" bestFit="1" customWidth="1"/>
    <col min="2" max="2" width="15.796875" bestFit="1" customWidth="1"/>
    <col min="3" max="3" width="15.296875" bestFit="1" customWidth="1"/>
    <col min="4" max="4" width="18.3984375" bestFit="1" customWidth="1"/>
    <col min="5" max="5" width="15.296875" bestFit="1" customWidth="1"/>
    <col min="6" max="6" width="22.796875" bestFit="1" customWidth="1"/>
    <col min="7" max="7" width="22.3984375" bestFit="1" customWidth="1"/>
    <col min="8" max="8" width="14.296875" bestFit="1" customWidth="1"/>
    <col min="9" max="9" width="14.69921875" bestFit="1" customWidth="1"/>
    <col min="10" max="10" width="26.09765625" bestFit="1" customWidth="1"/>
    <col min="11" max="11" width="25.8984375" bestFit="1" customWidth="1"/>
    <col min="12" max="12" width="19.296875" bestFit="1" customWidth="1"/>
    <col min="13" max="13" width="22.3984375" bestFit="1" customWidth="1"/>
    <col min="14" max="14" width="16.3984375" style="27" bestFit="1" customWidth="1"/>
    <col min="15" max="15" width="9.59765625" style="27" bestFit="1" customWidth="1"/>
    <col min="16" max="16" width="13.09765625" style="27" bestFit="1" customWidth="1"/>
  </cols>
  <sheetData>
    <row r="1" spans="1:16">
      <c r="A1" s="1" t="s">
        <v>391</v>
      </c>
      <c r="B1" s="1" t="s">
        <v>392</v>
      </c>
      <c r="C1" s="1" t="s">
        <v>393</v>
      </c>
      <c r="D1" s="1" t="s">
        <v>394</v>
      </c>
      <c r="E1" s="1" t="s">
        <v>395</v>
      </c>
      <c r="F1" s="1" t="s">
        <v>396</v>
      </c>
      <c r="G1" s="1" t="s">
        <v>397</v>
      </c>
      <c r="H1" s="1" t="s">
        <v>398</v>
      </c>
      <c r="I1" s="1" t="s">
        <v>399</v>
      </c>
      <c r="J1" s="1" t="s">
        <v>400</v>
      </c>
      <c r="K1" s="1" t="s">
        <v>401</v>
      </c>
      <c r="L1" s="1" t="s">
        <v>402</v>
      </c>
      <c r="M1" s="1" t="s">
        <v>403</v>
      </c>
      <c r="N1" s="22" t="s">
        <v>86</v>
      </c>
      <c r="O1" s="23" t="s">
        <v>17</v>
      </c>
      <c r="P1" s="24" t="s">
        <v>79</v>
      </c>
    </row>
    <row r="2" spans="1:16">
      <c r="A2" s="1" t="s">
        <v>404</v>
      </c>
      <c r="B2" s="1">
        <v>1.0353000000000001E-4</v>
      </c>
      <c r="C2" s="1">
        <v>8.7499999999999999E-5</v>
      </c>
      <c r="D2" s="1">
        <v>1209497.3602088799</v>
      </c>
      <c r="E2" s="1">
        <v>9.2629999999999999E-5</v>
      </c>
      <c r="F2" s="1">
        <v>114.63689592</v>
      </c>
      <c r="G2" s="1" t="s">
        <v>1253</v>
      </c>
      <c r="H2" s="1">
        <v>9.2260000000000001E-5</v>
      </c>
      <c r="I2" s="1">
        <v>9.2620000000000004E-5</v>
      </c>
      <c r="J2" s="1">
        <v>190</v>
      </c>
      <c r="K2" s="1">
        <v>5244</v>
      </c>
      <c r="L2" s="1">
        <v>9.4400000000000004E-5</v>
      </c>
      <c r="M2" s="1" t="s">
        <v>405</v>
      </c>
      <c r="N2" s="29" t="str">
        <f>LOWER(CONCATENATE("bittrex:",SUBSTITUTE(bittrex[[#This Row],[Column1.MarketName]],"-","")))</f>
        <v>bittrex:btc1st</v>
      </c>
      <c r="O2" s="26" t="str">
        <f>LOWER(CONCATENATE(SUBSTITUTE(bittrex[[#This Row],[Column1.MarketName]],"-","")))</f>
        <v>btc1st</v>
      </c>
      <c r="P2" s="35">
        <f>bittrex[[#This Row],[Column1.Last]]</f>
        <v>9.2629999999999999E-5</v>
      </c>
    </row>
    <row r="3" spans="1:16">
      <c r="A3" s="1" t="s">
        <v>406</v>
      </c>
      <c r="B3" s="1">
        <v>1.28E-6</v>
      </c>
      <c r="C3" s="1">
        <v>1.1999999999999999E-6</v>
      </c>
      <c r="D3" s="1">
        <v>4409650.38925613</v>
      </c>
      <c r="E3" s="1">
        <v>1.2300000000000001E-6</v>
      </c>
      <c r="F3" s="1">
        <v>5.45101134</v>
      </c>
      <c r="G3" s="1" t="s">
        <v>1254</v>
      </c>
      <c r="H3" s="1">
        <v>1.2100000000000001E-6</v>
      </c>
      <c r="I3" s="1">
        <v>1.2300000000000001E-6</v>
      </c>
      <c r="J3" s="1">
        <v>323</v>
      </c>
      <c r="K3" s="1">
        <v>2428</v>
      </c>
      <c r="L3" s="1">
        <v>1.2100000000000001E-6</v>
      </c>
      <c r="M3" s="1" t="s">
        <v>407</v>
      </c>
      <c r="N3" s="29" t="str">
        <f>LOWER(CONCATENATE("bittrex:",SUBSTITUTE(bittrex[[#This Row],[Column1.MarketName]],"-","")))</f>
        <v>bittrex:btc2give</v>
      </c>
      <c r="O3" s="26" t="str">
        <f>LOWER(CONCATENATE(SUBSTITUTE(bittrex[[#This Row],[Column1.MarketName]],"-","")))</f>
        <v>btc2give</v>
      </c>
      <c r="P3" s="35">
        <f>bittrex[[#This Row],[Column1.Last]]</f>
        <v>1.2300000000000001E-6</v>
      </c>
    </row>
    <row r="4" spans="1:16">
      <c r="A4" s="1" t="s">
        <v>408</v>
      </c>
      <c r="B4" s="1">
        <v>1.7600000000000001E-6</v>
      </c>
      <c r="C4" s="1">
        <v>1.6500000000000001E-6</v>
      </c>
      <c r="D4" s="1">
        <v>7803600.04224429</v>
      </c>
      <c r="E4" s="1">
        <v>1.7099999999999999E-6</v>
      </c>
      <c r="F4" s="1">
        <v>13.223461479999999</v>
      </c>
      <c r="G4" s="1" t="s">
        <v>1255</v>
      </c>
      <c r="H4" s="1">
        <v>1.7E-6</v>
      </c>
      <c r="I4" s="1">
        <v>1.7099999999999999E-6</v>
      </c>
      <c r="J4" s="1">
        <v>366</v>
      </c>
      <c r="K4" s="1">
        <v>4154</v>
      </c>
      <c r="L4" s="1">
        <v>1.73E-6</v>
      </c>
      <c r="M4" s="1" t="s">
        <v>409</v>
      </c>
      <c r="N4" s="29" t="str">
        <f>LOWER(CONCATENATE("bittrex:",SUBSTITUTE(bittrex[[#This Row],[Column1.MarketName]],"-","")))</f>
        <v>bittrex:btcaby</v>
      </c>
      <c r="O4" s="26" t="str">
        <f>LOWER(CONCATENATE(SUBSTITUTE(bittrex[[#This Row],[Column1.MarketName]],"-","")))</f>
        <v>btcaby</v>
      </c>
      <c r="P4" s="35">
        <f>bittrex[[#This Row],[Column1.Last]]</f>
        <v>1.7099999999999999E-6</v>
      </c>
    </row>
    <row r="5" spans="1:16">
      <c r="A5" s="1" t="s">
        <v>410</v>
      </c>
      <c r="B5" s="1">
        <v>1.098E-5</v>
      </c>
      <c r="C5" s="1">
        <v>9.9899999999999992E-6</v>
      </c>
      <c r="D5" s="1">
        <v>1718995.18411696</v>
      </c>
      <c r="E5" s="1">
        <v>1.0349999999999999E-5</v>
      </c>
      <c r="F5" s="1">
        <v>17.842875410000001</v>
      </c>
      <c r="G5" s="1" t="s">
        <v>1256</v>
      </c>
      <c r="H5" s="1">
        <v>1.0349999999999999E-5</v>
      </c>
      <c r="I5" s="1">
        <v>1.0550000000000001E-5</v>
      </c>
      <c r="J5" s="1">
        <v>192</v>
      </c>
      <c r="K5" s="1">
        <v>1992</v>
      </c>
      <c r="L5" s="1">
        <v>1.062E-5</v>
      </c>
      <c r="M5" s="1" t="s">
        <v>411</v>
      </c>
      <c r="N5" s="29" t="str">
        <f>LOWER(CONCATENATE("bittrex:",SUBSTITUTE(bittrex[[#This Row],[Column1.MarketName]],"-","")))</f>
        <v>bittrex:btcadt</v>
      </c>
      <c r="O5" s="26" t="str">
        <f>LOWER(CONCATENATE(SUBSTITUTE(bittrex[[#This Row],[Column1.MarketName]],"-","")))</f>
        <v>btcadt</v>
      </c>
      <c r="P5" s="35">
        <f>bittrex[[#This Row],[Column1.Last]]</f>
        <v>1.0349999999999999E-5</v>
      </c>
    </row>
    <row r="6" spans="1:16">
      <c r="A6" s="1" t="s">
        <v>412</v>
      </c>
      <c r="B6" s="1">
        <v>2.2699999999999999E-4</v>
      </c>
      <c r="C6" s="1">
        <v>2.0000000000000001E-4</v>
      </c>
      <c r="D6" s="1">
        <v>3989583.8644025601</v>
      </c>
      <c r="E6" s="1">
        <v>2.086E-4</v>
      </c>
      <c r="F6" s="1">
        <v>848.09660458999997</v>
      </c>
      <c r="G6" s="1" t="s">
        <v>1257</v>
      </c>
      <c r="H6" s="1">
        <v>2.0871E-4</v>
      </c>
      <c r="I6" s="1">
        <v>2.0998999999999999E-4</v>
      </c>
      <c r="J6" s="1">
        <v>1232</v>
      </c>
      <c r="K6" s="1">
        <v>9453</v>
      </c>
      <c r="L6" s="1">
        <v>2.1740999999999999E-4</v>
      </c>
      <c r="M6" s="1" t="s">
        <v>413</v>
      </c>
      <c r="N6" s="29" t="str">
        <f>LOWER(CONCATENATE("bittrex:",SUBSTITUTE(bittrex[[#This Row],[Column1.MarketName]],"-","")))</f>
        <v>bittrex:btcadx</v>
      </c>
      <c r="O6" s="26" t="str">
        <f>LOWER(CONCATENATE(SUBSTITUTE(bittrex[[#This Row],[Column1.MarketName]],"-","")))</f>
        <v>btcadx</v>
      </c>
      <c r="P6" s="35">
        <f>bittrex[[#This Row],[Column1.Last]]</f>
        <v>2.086E-4</v>
      </c>
    </row>
    <row r="7" spans="1:16">
      <c r="A7" s="1" t="s">
        <v>414</v>
      </c>
      <c r="B7" s="1">
        <v>2.0063000000000001E-4</v>
      </c>
      <c r="C7" s="1">
        <v>1.8215000000000001E-4</v>
      </c>
      <c r="D7" s="1">
        <v>32335.382904869999</v>
      </c>
      <c r="E7" s="1">
        <v>1.9000000000000001E-4</v>
      </c>
      <c r="F7" s="1">
        <v>6.2037442800000004</v>
      </c>
      <c r="G7" s="1" t="s">
        <v>1258</v>
      </c>
      <c r="H7" s="1">
        <v>1.9000000000000001E-4</v>
      </c>
      <c r="I7" s="1">
        <v>1.9001000000000001E-4</v>
      </c>
      <c r="J7" s="1">
        <v>233</v>
      </c>
      <c r="K7" s="1">
        <v>1515</v>
      </c>
      <c r="L7" s="1">
        <v>1.9446000000000001E-4</v>
      </c>
      <c r="M7" s="1" t="s">
        <v>415</v>
      </c>
      <c r="N7" s="29" t="str">
        <f>LOWER(CONCATENATE("bittrex:",SUBSTITUTE(bittrex[[#This Row],[Column1.MarketName]],"-","")))</f>
        <v>bittrex:btcaeon</v>
      </c>
      <c r="O7" s="26" t="str">
        <f>LOWER(CONCATENATE(SUBSTITUTE(bittrex[[#This Row],[Column1.MarketName]],"-","")))</f>
        <v>btcaeon</v>
      </c>
      <c r="P7" s="35">
        <f>bittrex[[#This Row],[Column1.Last]]</f>
        <v>1.9000000000000001E-4</v>
      </c>
    </row>
    <row r="8" spans="1:16">
      <c r="A8" s="1" t="s">
        <v>416</v>
      </c>
      <c r="B8" s="1">
        <v>8.8090000000000005E-5</v>
      </c>
      <c r="C8" s="1">
        <v>7.9120000000000001E-5</v>
      </c>
      <c r="D8" s="1">
        <v>29116.792604130002</v>
      </c>
      <c r="E8" s="1">
        <v>8.1069999999999995E-5</v>
      </c>
      <c r="F8" s="1">
        <v>2.3782473999999998</v>
      </c>
      <c r="G8" s="1" t="s">
        <v>1259</v>
      </c>
      <c r="H8" s="1">
        <v>8.1169999999999997E-5</v>
      </c>
      <c r="I8" s="1">
        <v>8.2880000000000006E-5</v>
      </c>
      <c r="J8" s="1">
        <v>200</v>
      </c>
      <c r="K8" s="1">
        <v>2150</v>
      </c>
      <c r="L8" s="1">
        <v>8.3599999999999999E-5</v>
      </c>
      <c r="M8" s="1" t="s">
        <v>417</v>
      </c>
      <c r="N8" s="29" t="str">
        <f>LOWER(CONCATENATE("bittrex:",SUBSTITUTE(bittrex[[#This Row],[Column1.MarketName]],"-","")))</f>
        <v>bittrex:btcagrs</v>
      </c>
      <c r="O8" s="26" t="str">
        <f>LOWER(CONCATENATE(SUBSTITUTE(bittrex[[#This Row],[Column1.MarketName]],"-","")))</f>
        <v>btcagrs</v>
      </c>
      <c r="P8" s="35">
        <f>bittrex[[#This Row],[Column1.Last]]</f>
        <v>8.1069999999999995E-5</v>
      </c>
    </row>
    <row r="9" spans="1:16">
      <c r="A9" s="1" t="s">
        <v>418</v>
      </c>
      <c r="B9" s="1">
        <v>4.5580000000000001E-5</v>
      </c>
      <c r="C9" s="1">
        <v>4.1820000000000003E-5</v>
      </c>
      <c r="D9" s="1">
        <v>936627.75545221998</v>
      </c>
      <c r="E9" s="1">
        <v>4.4400000000000002E-5</v>
      </c>
      <c r="F9" s="1">
        <v>41.138025419999998</v>
      </c>
      <c r="G9" s="1" t="s">
        <v>1260</v>
      </c>
      <c r="H9" s="1">
        <v>4.388E-5</v>
      </c>
      <c r="I9" s="1">
        <v>4.4400000000000002E-5</v>
      </c>
      <c r="J9" s="1">
        <v>324</v>
      </c>
      <c r="K9" s="1">
        <v>4974</v>
      </c>
      <c r="L9" s="1">
        <v>4.227E-5</v>
      </c>
      <c r="M9" s="1" t="s">
        <v>419</v>
      </c>
      <c r="N9" s="29" t="str">
        <f>LOWER(CONCATENATE("bittrex:",SUBSTITUTE(bittrex[[#This Row],[Column1.MarketName]],"-","")))</f>
        <v>bittrex:btcamp</v>
      </c>
      <c r="O9" s="26" t="str">
        <f>LOWER(CONCATENATE(SUBSTITUTE(bittrex[[#This Row],[Column1.MarketName]],"-","")))</f>
        <v>btcamp</v>
      </c>
      <c r="P9" s="35">
        <f>bittrex[[#This Row],[Column1.Last]]</f>
        <v>4.4400000000000002E-5</v>
      </c>
    </row>
    <row r="10" spans="1:16">
      <c r="A10" s="1" t="s">
        <v>420</v>
      </c>
      <c r="B10" s="1">
        <v>4.9901999999999998E-4</v>
      </c>
      <c r="C10" s="1">
        <v>4.5491999999999999E-4</v>
      </c>
      <c r="D10" s="1">
        <v>209816.37541111</v>
      </c>
      <c r="E10" s="1">
        <v>4.7408999999999998E-4</v>
      </c>
      <c r="F10" s="1">
        <v>99.488655280000003</v>
      </c>
      <c r="G10" s="1" t="s">
        <v>1261</v>
      </c>
      <c r="H10" s="1">
        <v>4.749E-4</v>
      </c>
      <c r="I10" s="1">
        <v>4.75E-4</v>
      </c>
      <c r="J10" s="1">
        <v>256</v>
      </c>
      <c r="K10" s="1">
        <v>3616</v>
      </c>
      <c r="L10" s="1">
        <v>4.7553999999999999E-4</v>
      </c>
      <c r="M10" s="1" t="s">
        <v>421</v>
      </c>
      <c r="N10" s="29" t="str">
        <f>LOWER(CONCATENATE("bittrex:",SUBSTITUTE(bittrex[[#This Row],[Column1.MarketName]],"-","")))</f>
        <v>bittrex:btcant</v>
      </c>
      <c r="O10" s="26" t="str">
        <f>LOWER(CONCATENATE(SUBSTITUTE(bittrex[[#This Row],[Column1.MarketName]],"-","")))</f>
        <v>btcant</v>
      </c>
      <c r="P10" s="35">
        <f>bittrex[[#This Row],[Column1.Last]]</f>
        <v>4.7408999999999998E-4</v>
      </c>
    </row>
    <row r="11" spans="1:16">
      <c r="A11" s="1" t="s">
        <v>422</v>
      </c>
      <c r="B11" s="1">
        <v>2.09925E-3</v>
      </c>
      <c r="C11" s="1">
        <v>1.8404199999999999E-3</v>
      </c>
      <c r="D11" s="1">
        <v>6674.8552716499998</v>
      </c>
      <c r="E11" s="1">
        <v>2.06077E-3</v>
      </c>
      <c r="F11" s="1">
        <v>13.099421230000001</v>
      </c>
      <c r="G11" s="1" t="s">
        <v>1262</v>
      </c>
      <c r="H11" s="1">
        <v>2.0106199999999999E-3</v>
      </c>
      <c r="I11" s="1">
        <v>2.06077E-3</v>
      </c>
      <c r="J11" s="1">
        <v>429</v>
      </c>
      <c r="K11" s="1">
        <v>1003</v>
      </c>
      <c r="L11" s="1">
        <v>1.8699999999999999E-3</v>
      </c>
      <c r="M11" s="1" t="s">
        <v>423</v>
      </c>
      <c r="N11" s="29" t="str">
        <f>LOWER(CONCATENATE("bittrex:",SUBSTITUTE(bittrex[[#This Row],[Column1.MarketName]],"-","")))</f>
        <v>bittrex:btcapx</v>
      </c>
      <c r="O11" s="26" t="str">
        <f>LOWER(CONCATENATE(SUBSTITUTE(bittrex[[#This Row],[Column1.MarketName]],"-","")))</f>
        <v>btcapx</v>
      </c>
      <c r="P11" s="35">
        <f>bittrex[[#This Row],[Column1.Last]]</f>
        <v>2.06077E-3</v>
      </c>
    </row>
    <row r="12" spans="1:16">
      <c r="A12" s="1" t="s">
        <v>424</v>
      </c>
      <c r="B12" s="1">
        <v>4.4060000000000002E-5</v>
      </c>
      <c r="C12" s="1">
        <v>3.2249999999999998E-5</v>
      </c>
      <c r="D12" s="1">
        <v>14892469.087328229</v>
      </c>
      <c r="E12" s="1">
        <v>3.8699999999999999E-5</v>
      </c>
      <c r="F12" s="1">
        <v>546.34888024999998</v>
      </c>
      <c r="G12" s="1" t="s">
        <v>1263</v>
      </c>
      <c r="H12" s="1">
        <v>3.8340000000000002E-5</v>
      </c>
      <c r="I12" s="1">
        <v>3.8779999999999998E-5</v>
      </c>
      <c r="J12" s="1">
        <v>682</v>
      </c>
      <c r="K12" s="1">
        <v>3450</v>
      </c>
      <c r="L12" s="1">
        <v>3.2249999999999998E-5</v>
      </c>
      <c r="M12" s="1" t="s">
        <v>425</v>
      </c>
      <c r="N12" s="29" t="str">
        <f>LOWER(CONCATENATE("bittrex:",SUBSTITUTE(bittrex[[#This Row],[Column1.MarketName]],"-","")))</f>
        <v>bittrex:btcardr</v>
      </c>
      <c r="O12" s="26" t="str">
        <f>LOWER(CONCATENATE(SUBSTITUTE(bittrex[[#This Row],[Column1.MarketName]],"-","")))</f>
        <v>btcardr</v>
      </c>
      <c r="P12" s="35">
        <f>bittrex[[#This Row],[Column1.Last]]</f>
        <v>3.8699999999999999E-5</v>
      </c>
    </row>
    <row r="13" spans="1:16">
      <c r="A13" s="1" t="s">
        <v>426</v>
      </c>
      <c r="B13" s="1">
        <v>5.9869999999999997E-4</v>
      </c>
      <c r="C13" s="1">
        <v>5.5500000000000005E-4</v>
      </c>
      <c r="D13" s="1">
        <v>946198.93140835001</v>
      </c>
      <c r="E13" s="1">
        <v>5.8098999999999998E-4</v>
      </c>
      <c r="F13" s="1">
        <v>547.61741641000003</v>
      </c>
      <c r="G13" s="1" t="s">
        <v>1264</v>
      </c>
      <c r="H13" s="1">
        <v>5.7899000000000004E-4</v>
      </c>
      <c r="I13" s="1">
        <v>5.8098999999999998E-4</v>
      </c>
      <c r="J13" s="1">
        <v>1707</v>
      </c>
      <c r="K13" s="1">
        <v>2861</v>
      </c>
      <c r="L13" s="1">
        <v>5.8757999999999998E-4</v>
      </c>
      <c r="M13" s="1" t="s">
        <v>427</v>
      </c>
      <c r="N13" s="29" t="str">
        <f>LOWER(CONCATENATE("bittrex:",SUBSTITUTE(bittrex[[#This Row],[Column1.MarketName]],"-","")))</f>
        <v>bittrex:btcark</v>
      </c>
      <c r="O13" s="26" t="str">
        <f>LOWER(CONCATENATE(SUBSTITUTE(bittrex[[#This Row],[Column1.MarketName]],"-","")))</f>
        <v>btcark</v>
      </c>
      <c r="P13" s="35">
        <f>bittrex[[#This Row],[Column1.Last]]</f>
        <v>5.8098999999999998E-4</v>
      </c>
    </row>
    <row r="14" spans="1:16">
      <c r="A14" s="1" t="s">
        <v>428</v>
      </c>
      <c r="B14" s="1">
        <v>1.6998999999999999E-4</v>
      </c>
      <c r="C14" s="1">
        <v>1.4899999999999999E-4</v>
      </c>
      <c r="D14" s="1">
        <v>73590.312198350002</v>
      </c>
      <c r="E14" s="1">
        <v>1.5801000000000001E-4</v>
      </c>
      <c r="F14" s="1">
        <v>11.584044799999999</v>
      </c>
      <c r="G14" s="1" t="s">
        <v>1265</v>
      </c>
      <c r="H14" s="1">
        <v>1.5801000000000001E-4</v>
      </c>
      <c r="I14" s="1">
        <v>1.5872E-4</v>
      </c>
      <c r="J14" s="1">
        <v>160</v>
      </c>
      <c r="K14" s="1">
        <v>1028</v>
      </c>
      <c r="L14" s="1">
        <v>1.5102E-4</v>
      </c>
      <c r="M14" s="1" t="s">
        <v>429</v>
      </c>
      <c r="N14" s="29" t="str">
        <f>LOWER(CONCATENATE("bittrex:",SUBSTITUTE(bittrex[[#This Row],[Column1.MarketName]],"-","")))</f>
        <v>bittrex:btcaur</v>
      </c>
      <c r="O14" s="26" t="str">
        <f>LOWER(CONCATENATE(SUBSTITUTE(bittrex[[#This Row],[Column1.MarketName]],"-","")))</f>
        <v>btcaur</v>
      </c>
      <c r="P14" s="35">
        <f>bittrex[[#This Row],[Column1.Last]]</f>
        <v>1.5801000000000001E-4</v>
      </c>
    </row>
    <row r="15" spans="1:16">
      <c r="A15" s="1" t="s">
        <v>430</v>
      </c>
      <c r="B15" s="1">
        <v>5.4849999999999998E-5</v>
      </c>
      <c r="C15" s="1">
        <v>4.6900000000000002E-5</v>
      </c>
      <c r="D15" s="1">
        <v>9600228.1800149605</v>
      </c>
      <c r="E15" s="1">
        <v>5.2960000000000001E-5</v>
      </c>
      <c r="F15" s="1">
        <v>487.99599724000001</v>
      </c>
      <c r="G15" s="1" t="s">
        <v>1266</v>
      </c>
      <c r="H15" s="1">
        <v>5.2960000000000001E-5</v>
      </c>
      <c r="I15" s="1">
        <v>5.2970000000000003E-5</v>
      </c>
      <c r="J15" s="1">
        <v>957</v>
      </c>
      <c r="K15" s="1">
        <v>8552</v>
      </c>
      <c r="L15" s="1">
        <v>4.8479999999999997E-5</v>
      </c>
      <c r="M15" s="1" t="s">
        <v>431</v>
      </c>
      <c r="N15" s="29" t="str">
        <f>LOWER(CONCATENATE("bittrex:",SUBSTITUTE(bittrex[[#This Row],[Column1.MarketName]],"-","")))</f>
        <v>bittrex:btcbat</v>
      </c>
      <c r="O15" s="26" t="str">
        <f>LOWER(CONCATENATE(SUBSTITUTE(bittrex[[#This Row],[Column1.MarketName]],"-","")))</f>
        <v>btcbat</v>
      </c>
      <c r="P15" s="35">
        <f>bittrex[[#This Row],[Column1.Last]]</f>
        <v>5.2960000000000001E-5</v>
      </c>
    </row>
    <row r="16" spans="1:16">
      <c r="A16" t="s">
        <v>432</v>
      </c>
      <c r="B16">
        <v>6.3199999999999996E-6</v>
      </c>
      <c r="C16">
        <v>5.0000000000000004E-6</v>
      </c>
      <c r="D16">
        <v>8466210.2385884095</v>
      </c>
      <c r="E16">
        <v>5.5999999999999997E-6</v>
      </c>
      <c r="F16">
        <v>48.104809160000002</v>
      </c>
      <c r="G16" t="s">
        <v>1267</v>
      </c>
      <c r="H16">
        <v>5.57E-6</v>
      </c>
      <c r="I16">
        <v>5.5999999999999997E-6</v>
      </c>
      <c r="J16">
        <v>595</v>
      </c>
      <c r="K16">
        <v>3343</v>
      </c>
      <c r="L16">
        <v>5.2499999999999997E-6</v>
      </c>
      <c r="M16" t="s">
        <v>433</v>
      </c>
      <c r="N16" s="29" t="str">
        <f>LOWER(CONCATENATE("bittrex:",SUBSTITUTE(bittrex[[#This Row],[Column1.MarketName]],"-","")))</f>
        <v>bittrex:btcbay</v>
      </c>
      <c r="O16" s="26" t="str">
        <f>LOWER(CONCATENATE(SUBSTITUTE(bittrex[[#This Row],[Column1.MarketName]],"-","")))</f>
        <v>btcbay</v>
      </c>
      <c r="P16" s="35">
        <f>bittrex[[#This Row],[Column1.Last]]</f>
        <v>5.5999999999999997E-6</v>
      </c>
    </row>
    <row r="17" spans="1:16">
      <c r="A17" t="s">
        <v>434</v>
      </c>
      <c r="B17">
        <v>0.15775726000000001</v>
      </c>
      <c r="C17">
        <v>0.13788183000000001</v>
      </c>
      <c r="D17">
        <v>37214.128447590003</v>
      </c>
      <c r="E17">
        <v>0.14910000000000001</v>
      </c>
      <c r="F17">
        <v>5502.6438001799997</v>
      </c>
      <c r="G17" t="s">
        <v>1268</v>
      </c>
      <c r="H17">
        <v>0.14910000000000001</v>
      </c>
      <c r="I17">
        <v>0.14943799999999999</v>
      </c>
      <c r="J17">
        <v>3371</v>
      </c>
      <c r="K17">
        <v>12485</v>
      </c>
      <c r="L17">
        <v>0.13869999999999999</v>
      </c>
      <c r="M17" t="s">
        <v>435</v>
      </c>
      <c r="N17" s="29" t="str">
        <f>LOWER(CONCATENATE("bittrex:",SUBSTITUTE(bittrex[[#This Row],[Column1.MarketName]],"-","")))</f>
        <v>bittrex:btcbcc</v>
      </c>
      <c r="O17" s="26" t="str">
        <f>LOWER(CONCATENATE(SUBSTITUTE(bittrex[[#This Row],[Column1.MarketName]],"-","")))</f>
        <v>btcbcc</v>
      </c>
      <c r="P17" s="35">
        <f>bittrex[[#This Row],[Column1.Last]]</f>
        <v>0.14910000000000001</v>
      </c>
    </row>
    <row r="18" spans="1:16">
      <c r="A18" t="s">
        <v>436</v>
      </c>
      <c r="B18">
        <v>1.0684E-4</v>
      </c>
      <c r="C18">
        <v>8.9279999999999999E-5</v>
      </c>
      <c r="D18">
        <v>262108.82104107001</v>
      </c>
      <c r="E18">
        <v>1.0105E-4</v>
      </c>
      <c r="F18">
        <v>25.345389600000001</v>
      </c>
      <c r="G18" t="s">
        <v>1269</v>
      </c>
      <c r="H18">
        <v>9.9209999999999994E-5</v>
      </c>
      <c r="I18">
        <v>1.0102000000000001E-4</v>
      </c>
      <c r="J18">
        <v>175</v>
      </c>
      <c r="K18">
        <v>2087</v>
      </c>
      <c r="L18">
        <v>9.1619999999999994E-5</v>
      </c>
      <c r="M18" t="s">
        <v>437</v>
      </c>
      <c r="N18" s="29" t="str">
        <f>LOWER(CONCATENATE("bittrex:",SUBSTITUTE(bittrex[[#This Row],[Column1.MarketName]],"-","")))</f>
        <v>bittrex:btcbcy</v>
      </c>
      <c r="O18" s="26" t="str">
        <f>LOWER(CONCATENATE(SUBSTITUTE(bittrex[[#This Row],[Column1.MarketName]],"-","")))</f>
        <v>btcbcy</v>
      </c>
      <c r="P18" s="35">
        <f>bittrex[[#This Row],[Column1.Last]]</f>
        <v>1.0105E-4</v>
      </c>
    </row>
    <row r="19" spans="1:16">
      <c r="A19" t="s">
        <v>438</v>
      </c>
      <c r="B19">
        <v>7.3E-7</v>
      </c>
      <c r="C19">
        <v>6.6000000000000003E-7</v>
      </c>
      <c r="D19">
        <v>33300548.840468168</v>
      </c>
      <c r="E19">
        <v>6.7999999999999995E-7</v>
      </c>
      <c r="F19">
        <v>22.880173620000001</v>
      </c>
      <c r="G19" t="s">
        <v>1270</v>
      </c>
      <c r="H19">
        <v>6.7999999999999995E-7</v>
      </c>
      <c r="I19">
        <v>6.9999999999999997E-7</v>
      </c>
      <c r="J19">
        <v>619</v>
      </c>
      <c r="K19">
        <v>4588</v>
      </c>
      <c r="L19">
        <v>7.1999999999999999E-7</v>
      </c>
      <c r="M19" t="s">
        <v>439</v>
      </c>
      <c r="N19" s="29" t="str">
        <f>LOWER(CONCATENATE("bittrex:",SUBSTITUTE(bittrex[[#This Row],[Column1.MarketName]],"-","")))</f>
        <v>bittrex:btcbitb</v>
      </c>
      <c r="O19" s="26" t="str">
        <f>LOWER(CONCATENATE(SUBSTITUTE(bittrex[[#This Row],[Column1.MarketName]],"-","")))</f>
        <v>btcbitb</v>
      </c>
      <c r="P19" s="35">
        <f>bittrex[[#This Row],[Column1.Last]]</f>
        <v>6.7999999999999995E-7</v>
      </c>
    </row>
    <row r="20" spans="1:16">
      <c r="A20" t="s">
        <v>440</v>
      </c>
      <c r="B20">
        <v>4.1525999999999998E-4</v>
      </c>
      <c r="C20">
        <v>3.5771000000000002E-4</v>
      </c>
      <c r="D20">
        <v>49891.474263210002</v>
      </c>
      <c r="E20">
        <v>3.9065999999999998E-4</v>
      </c>
      <c r="F20">
        <v>19.301659239999999</v>
      </c>
      <c r="G20" t="s">
        <v>1271</v>
      </c>
      <c r="H20">
        <v>3.9065999999999998E-4</v>
      </c>
      <c r="I20">
        <v>3.9084999999999999E-4</v>
      </c>
      <c r="J20">
        <v>337</v>
      </c>
      <c r="K20">
        <v>2222</v>
      </c>
      <c r="L20">
        <v>4.0765000000000002E-4</v>
      </c>
      <c r="M20" t="s">
        <v>441</v>
      </c>
      <c r="N20" s="29" t="str">
        <f>LOWER(CONCATENATE("bittrex:",SUBSTITUTE(bittrex[[#This Row],[Column1.MarketName]],"-","")))</f>
        <v>bittrex:btcblitz</v>
      </c>
      <c r="O20" s="26" t="str">
        <f>LOWER(CONCATENATE(SUBSTITUTE(bittrex[[#This Row],[Column1.MarketName]],"-","")))</f>
        <v>btcblitz</v>
      </c>
      <c r="P20" s="35">
        <f>bittrex[[#This Row],[Column1.Last]]</f>
        <v>3.9065999999999998E-4</v>
      </c>
    </row>
    <row r="21" spans="1:16">
      <c r="A21" t="s">
        <v>442</v>
      </c>
      <c r="B21">
        <v>6.3E-5</v>
      </c>
      <c r="C21">
        <v>5.5000000000000002E-5</v>
      </c>
      <c r="D21">
        <v>383524.96239081002</v>
      </c>
      <c r="E21">
        <v>5.5550000000000002E-5</v>
      </c>
      <c r="F21">
        <v>22.240154799999999</v>
      </c>
      <c r="G21" t="s">
        <v>1272</v>
      </c>
      <c r="H21">
        <v>5.5000000000000002E-5</v>
      </c>
      <c r="I21">
        <v>5.5550000000000002E-5</v>
      </c>
      <c r="J21">
        <v>289</v>
      </c>
      <c r="K21">
        <v>3041</v>
      </c>
      <c r="L21">
        <v>5.7309999999999998E-5</v>
      </c>
      <c r="M21" t="s">
        <v>443</v>
      </c>
      <c r="N21" s="29" t="str">
        <f>LOWER(CONCATENATE("bittrex:",SUBSTITUTE(bittrex[[#This Row],[Column1.MarketName]],"-","")))</f>
        <v>bittrex:btcblk</v>
      </c>
      <c r="O21" s="26" t="str">
        <f>LOWER(CONCATENATE(SUBSTITUTE(bittrex[[#This Row],[Column1.MarketName]],"-","")))</f>
        <v>btcblk</v>
      </c>
      <c r="P21" s="35">
        <f>bittrex[[#This Row],[Column1.Last]]</f>
        <v>5.5550000000000002E-5</v>
      </c>
    </row>
    <row r="22" spans="1:16">
      <c r="A22" t="s">
        <v>444</v>
      </c>
      <c r="B22">
        <v>5.8799999999999998E-3</v>
      </c>
      <c r="C22">
        <v>5.0791899999999999E-3</v>
      </c>
      <c r="D22">
        <v>12153.92568733</v>
      </c>
      <c r="E22">
        <v>5.3304600000000004E-3</v>
      </c>
      <c r="F22">
        <v>66.021187800000007</v>
      </c>
      <c r="G22" t="s">
        <v>1273</v>
      </c>
      <c r="H22">
        <v>5.3301700000000004E-3</v>
      </c>
      <c r="I22">
        <v>5.3304600000000004E-3</v>
      </c>
      <c r="J22">
        <v>498</v>
      </c>
      <c r="K22">
        <v>1176</v>
      </c>
      <c r="L22">
        <v>5.7984999999999998E-3</v>
      </c>
      <c r="M22" t="s">
        <v>445</v>
      </c>
      <c r="N22" s="29" t="str">
        <f>LOWER(CONCATENATE("bittrex:",SUBSTITUTE(bittrex[[#This Row],[Column1.MarketName]],"-","")))</f>
        <v>bittrex:btcblock</v>
      </c>
      <c r="O22" s="26" t="str">
        <f>LOWER(CONCATENATE(SUBSTITUTE(bittrex[[#This Row],[Column1.MarketName]],"-","")))</f>
        <v>btcblock</v>
      </c>
      <c r="P22" s="35">
        <f>bittrex[[#This Row],[Column1.Last]]</f>
        <v>5.3304600000000004E-3</v>
      </c>
    </row>
    <row r="23" spans="1:16">
      <c r="A23" t="s">
        <v>446</v>
      </c>
      <c r="B23">
        <v>6.4000000000000005E-4</v>
      </c>
      <c r="C23">
        <v>5.5615000000000005E-4</v>
      </c>
      <c r="D23">
        <v>288278.26558482001</v>
      </c>
      <c r="E23">
        <v>5.8164000000000002E-4</v>
      </c>
      <c r="F23">
        <v>168.53933555</v>
      </c>
      <c r="G23" t="s">
        <v>1274</v>
      </c>
      <c r="H23">
        <v>5.7027E-4</v>
      </c>
      <c r="I23">
        <v>5.7713000000000003E-4</v>
      </c>
      <c r="J23">
        <v>249</v>
      </c>
      <c r="K23">
        <v>3000</v>
      </c>
      <c r="L23">
        <v>5.6700000000000001E-4</v>
      </c>
      <c r="M23" t="s">
        <v>447</v>
      </c>
      <c r="N23" s="29" t="str">
        <f>LOWER(CONCATENATE("bittrex:",SUBSTITUTE(bittrex[[#This Row],[Column1.MarketName]],"-","")))</f>
        <v>bittrex:btcbnt</v>
      </c>
      <c r="O23" s="26" t="str">
        <f>LOWER(CONCATENATE(SUBSTITUTE(bittrex[[#This Row],[Column1.MarketName]],"-","")))</f>
        <v>btcbnt</v>
      </c>
      <c r="P23" s="35">
        <f>bittrex[[#This Row],[Column1.Last]]</f>
        <v>5.8164000000000002E-4</v>
      </c>
    </row>
    <row r="24" spans="1:16">
      <c r="A24" t="s">
        <v>448</v>
      </c>
      <c r="B24">
        <v>3.8009999999999997E-5</v>
      </c>
      <c r="C24">
        <v>3.4999999999999997E-5</v>
      </c>
      <c r="D24">
        <v>190272.38755576001</v>
      </c>
      <c r="E24">
        <v>3.5750000000000002E-5</v>
      </c>
      <c r="F24">
        <v>6.9416053599999996</v>
      </c>
      <c r="G24" t="s">
        <v>1275</v>
      </c>
      <c r="H24">
        <v>3.5750000000000002E-5</v>
      </c>
      <c r="I24">
        <v>3.5989999999999999E-5</v>
      </c>
      <c r="J24">
        <v>239</v>
      </c>
      <c r="K24">
        <v>1725</v>
      </c>
      <c r="L24">
        <v>3.5670000000000002E-5</v>
      </c>
      <c r="M24" t="s">
        <v>449</v>
      </c>
      <c r="N24" s="29" t="str">
        <f>LOWER(CONCATENATE("bittrex:",SUBSTITUTE(bittrex[[#This Row],[Column1.MarketName]],"-","")))</f>
        <v>bittrex:btcbrk</v>
      </c>
      <c r="O24" s="26" t="str">
        <f>LOWER(CONCATENATE(SUBSTITUTE(bittrex[[#This Row],[Column1.MarketName]],"-","")))</f>
        <v>btcbrk</v>
      </c>
      <c r="P24" s="35">
        <f>bittrex[[#This Row],[Column1.Last]]</f>
        <v>3.5750000000000002E-5</v>
      </c>
    </row>
    <row r="25" spans="1:16">
      <c r="A25" t="s">
        <v>450</v>
      </c>
      <c r="B25">
        <v>1.5734000000000001E-4</v>
      </c>
      <c r="C25">
        <v>1.3688E-4</v>
      </c>
      <c r="D25">
        <v>36603.59439518</v>
      </c>
      <c r="E25">
        <v>1.3907000000000001E-4</v>
      </c>
      <c r="F25">
        <v>5.3331698000000003</v>
      </c>
      <c r="G25" t="s">
        <v>1276</v>
      </c>
      <c r="H25">
        <v>1.3909999999999999E-4</v>
      </c>
      <c r="I25">
        <v>1.4124E-4</v>
      </c>
      <c r="J25">
        <v>286</v>
      </c>
      <c r="K25">
        <v>1477</v>
      </c>
      <c r="L25">
        <v>1.4637999999999999E-4</v>
      </c>
      <c r="M25" t="s">
        <v>451</v>
      </c>
      <c r="N25" s="29" t="str">
        <f>LOWER(CONCATENATE("bittrex:",SUBSTITUTE(bittrex[[#This Row],[Column1.MarketName]],"-","")))</f>
        <v>bittrex:btcbrx</v>
      </c>
      <c r="O25" s="26" t="str">
        <f>LOWER(CONCATENATE(SUBSTITUTE(bittrex[[#This Row],[Column1.MarketName]],"-","")))</f>
        <v>btcbrx</v>
      </c>
      <c r="P25" s="35">
        <f>bittrex[[#This Row],[Column1.Last]]</f>
        <v>1.3907000000000001E-4</v>
      </c>
    </row>
    <row r="26" spans="1:16">
      <c r="A26" t="s">
        <v>452</v>
      </c>
      <c r="B26">
        <v>8.9660000000000006E-5</v>
      </c>
      <c r="C26">
        <v>8.3999999999999995E-5</v>
      </c>
      <c r="D26">
        <v>74935.487403709994</v>
      </c>
      <c r="E26">
        <v>8.5450000000000003E-5</v>
      </c>
      <c r="F26">
        <v>6.4799301500000004</v>
      </c>
      <c r="G26" t="s">
        <v>1277</v>
      </c>
      <c r="H26">
        <v>8.5290000000000005E-5</v>
      </c>
      <c r="I26">
        <v>8.6979999999999997E-5</v>
      </c>
      <c r="J26">
        <v>298</v>
      </c>
      <c r="K26">
        <v>1787</v>
      </c>
      <c r="L26">
        <v>8.5010000000000001E-5</v>
      </c>
      <c r="M26" t="s">
        <v>453</v>
      </c>
      <c r="N26" s="29" t="str">
        <f>LOWER(CONCATENATE("bittrex:",SUBSTITUTE(bittrex[[#This Row],[Column1.MarketName]],"-","")))</f>
        <v>bittrex:btcbsd</v>
      </c>
      <c r="O26" s="26" t="str">
        <f>LOWER(CONCATENATE(SUBSTITUTE(bittrex[[#This Row],[Column1.MarketName]],"-","")))</f>
        <v>btcbsd</v>
      </c>
      <c r="P26" s="35">
        <f>bittrex[[#This Row],[Column1.Last]]</f>
        <v>8.5450000000000003E-5</v>
      </c>
    </row>
    <row r="27" spans="1:16">
      <c r="A27" t="s">
        <v>454</v>
      </c>
      <c r="B27">
        <v>1.2692000000000001E-4</v>
      </c>
      <c r="C27">
        <v>1.1803000000000001E-4</v>
      </c>
      <c r="D27">
        <v>41468.243405039997</v>
      </c>
      <c r="E27">
        <v>1.1803000000000001E-4</v>
      </c>
      <c r="F27">
        <v>5.0183196099999998</v>
      </c>
      <c r="G27" t="s">
        <v>1278</v>
      </c>
      <c r="H27">
        <v>1.1803000000000001E-4</v>
      </c>
      <c r="I27">
        <v>1.1849999999999999E-4</v>
      </c>
      <c r="J27">
        <v>253</v>
      </c>
      <c r="K27">
        <v>1926</v>
      </c>
      <c r="L27">
        <v>1.1951999999999999E-4</v>
      </c>
      <c r="M27" t="s">
        <v>455</v>
      </c>
      <c r="N27" s="29" t="str">
        <f>LOWER(CONCATENATE("bittrex:",SUBSTITUTE(bittrex[[#This Row],[Column1.MarketName]],"-","")))</f>
        <v>bittrex:btcbta</v>
      </c>
      <c r="O27" s="26" t="str">
        <f>LOWER(CONCATENATE(SUBSTITUTE(bittrex[[#This Row],[Column1.MarketName]],"-","")))</f>
        <v>btcbta</v>
      </c>
      <c r="P27" s="35">
        <f>bittrex[[#This Row],[Column1.Last]]</f>
        <v>1.1803000000000001E-4</v>
      </c>
    </row>
    <row r="28" spans="1:16">
      <c r="A28" t="s">
        <v>456</v>
      </c>
      <c r="B28">
        <v>3.5639999999999998E-2</v>
      </c>
      <c r="C28">
        <v>2.78125E-2</v>
      </c>
      <c r="D28">
        <v>1960.4215919000001</v>
      </c>
      <c r="E28">
        <v>3.3000950000000001E-2</v>
      </c>
      <c r="F28">
        <v>63.221138779999997</v>
      </c>
      <c r="G28" t="s">
        <v>1279</v>
      </c>
      <c r="H28">
        <v>3.3001019999999999E-2</v>
      </c>
      <c r="I28">
        <v>3.369635E-2</v>
      </c>
      <c r="J28">
        <v>388</v>
      </c>
      <c r="K28">
        <v>365</v>
      </c>
      <c r="L28">
        <v>3.1310890000000001E-2</v>
      </c>
      <c r="M28" t="s">
        <v>457</v>
      </c>
      <c r="N28" s="29" t="str">
        <f>LOWER(CONCATENATE("bittrex:",SUBSTITUTE(bittrex[[#This Row],[Column1.MarketName]],"-","")))</f>
        <v>bittrex:btcbtcd</v>
      </c>
      <c r="O28" s="26" t="str">
        <f>LOWER(CONCATENATE(SUBSTITUTE(bittrex[[#This Row],[Column1.MarketName]],"-","")))</f>
        <v>btcbtcd</v>
      </c>
      <c r="P28" s="35">
        <f>bittrex[[#This Row],[Column1.Last]]</f>
        <v>3.3000950000000001E-2</v>
      </c>
    </row>
    <row r="29" spans="1:16">
      <c r="A29" t="s">
        <v>458</v>
      </c>
      <c r="B29">
        <v>3.43E-5</v>
      </c>
      <c r="C29">
        <v>3.116E-5</v>
      </c>
      <c r="D29">
        <v>19283406.233285289</v>
      </c>
      <c r="E29">
        <v>3.15E-5</v>
      </c>
      <c r="F29">
        <v>632.26847712000006</v>
      </c>
      <c r="G29" t="s">
        <v>1280</v>
      </c>
      <c r="H29">
        <v>3.1479999999999997E-5</v>
      </c>
      <c r="I29">
        <v>3.15E-5</v>
      </c>
      <c r="J29">
        <v>850</v>
      </c>
      <c r="K29">
        <v>8433</v>
      </c>
      <c r="L29">
        <v>3.349E-5</v>
      </c>
      <c r="M29" t="s">
        <v>459</v>
      </c>
      <c r="N29" s="29" t="str">
        <f>LOWER(CONCATENATE("bittrex:",SUBSTITUTE(bittrex[[#This Row],[Column1.MarketName]],"-","")))</f>
        <v>bittrex:btcbts</v>
      </c>
      <c r="O29" s="26" t="str">
        <f>LOWER(CONCATENATE(SUBSTITUTE(bittrex[[#This Row],[Column1.MarketName]],"-","")))</f>
        <v>btcbts</v>
      </c>
      <c r="P29" s="35">
        <f>bittrex[[#This Row],[Column1.Last]]</f>
        <v>3.15E-5</v>
      </c>
    </row>
    <row r="30" spans="1:16">
      <c r="A30" t="s">
        <v>460</v>
      </c>
      <c r="B30">
        <v>2.83E-6</v>
      </c>
      <c r="C30">
        <v>2.4499999999999998E-6</v>
      </c>
      <c r="D30">
        <v>36787094.710552357</v>
      </c>
      <c r="E30">
        <v>2.6000000000000001E-6</v>
      </c>
      <c r="F30">
        <v>94.769153619999997</v>
      </c>
      <c r="G30" t="s">
        <v>1281</v>
      </c>
      <c r="H30">
        <v>2.5900000000000002E-6</v>
      </c>
      <c r="I30">
        <v>2.6000000000000001E-6</v>
      </c>
      <c r="J30">
        <v>584</v>
      </c>
      <c r="K30">
        <v>4617</v>
      </c>
      <c r="L30">
        <v>2.7E-6</v>
      </c>
      <c r="M30" t="s">
        <v>461</v>
      </c>
      <c r="N30" s="29" t="str">
        <f>LOWER(CONCATENATE("bittrex:",SUBSTITUTE(bittrex[[#This Row],[Column1.MarketName]],"-","")))</f>
        <v>bittrex:btcburst</v>
      </c>
      <c r="O30" s="26" t="str">
        <f>LOWER(CONCATENATE(SUBSTITUTE(bittrex[[#This Row],[Column1.MarketName]],"-","")))</f>
        <v>btcburst</v>
      </c>
      <c r="P30" s="35">
        <f>bittrex[[#This Row],[Column1.Last]]</f>
        <v>2.6000000000000001E-6</v>
      </c>
    </row>
    <row r="31" spans="1:16">
      <c r="A31" t="s">
        <v>462</v>
      </c>
      <c r="B31">
        <v>1.4600999999999999E-4</v>
      </c>
      <c r="C31">
        <v>1.3124999999999999E-4</v>
      </c>
      <c r="D31">
        <v>21699.599431580002</v>
      </c>
      <c r="E31">
        <v>1.3307E-4</v>
      </c>
      <c r="F31">
        <v>3.0278596800000002</v>
      </c>
      <c r="G31" t="s">
        <v>1282</v>
      </c>
      <c r="H31">
        <v>1.3332E-4</v>
      </c>
      <c r="I31">
        <v>1.3690999999999999E-4</v>
      </c>
      <c r="J31">
        <v>283</v>
      </c>
      <c r="K31">
        <v>1189</v>
      </c>
      <c r="L31">
        <v>1.4558999999999999E-4</v>
      </c>
      <c r="M31" t="s">
        <v>463</v>
      </c>
      <c r="N31" s="29" t="str">
        <f>LOWER(CONCATENATE("bittrex:",SUBSTITUTE(bittrex[[#This Row],[Column1.MarketName]],"-","")))</f>
        <v>bittrex:btcbyc</v>
      </c>
      <c r="O31" s="26" t="str">
        <f>LOWER(CONCATENATE(SUBSTITUTE(bittrex[[#This Row],[Column1.MarketName]],"-","")))</f>
        <v>btcbyc</v>
      </c>
      <c r="P31" s="35">
        <f>bittrex[[#This Row],[Column1.Last]]</f>
        <v>1.3307E-4</v>
      </c>
    </row>
    <row r="32" spans="1:16">
      <c r="A32" t="s">
        <v>464</v>
      </c>
      <c r="B32">
        <v>6.6000000000000003E-6</v>
      </c>
      <c r="C32">
        <v>6.2700000000000001E-6</v>
      </c>
      <c r="D32">
        <v>2294533.8207410602</v>
      </c>
      <c r="E32">
        <v>6.3199999999999996E-6</v>
      </c>
      <c r="F32">
        <v>14.64024025</v>
      </c>
      <c r="G32" t="s">
        <v>1283</v>
      </c>
      <c r="H32">
        <v>6.3199999999999996E-6</v>
      </c>
      <c r="I32">
        <v>6.3799999999999999E-6</v>
      </c>
      <c r="J32">
        <v>536</v>
      </c>
      <c r="K32">
        <v>5330</v>
      </c>
      <c r="L32">
        <v>6.3799999999999999E-6</v>
      </c>
      <c r="M32" t="s">
        <v>465</v>
      </c>
      <c r="N32" s="29" t="str">
        <f>LOWER(CONCATENATE("bittrex:",SUBSTITUTE(bittrex[[#This Row],[Column1.MarketName]],"-","")))</f>
        <v>bittrex:btccann</v>
      </c>
      <c r="O32" s="26" t="str">
        <f>LOWER(CONCATENATE(SUBSTITUTE(bittrex[[#This Row],[Column1.MarketName]],"-","")))</f>
        <v>btccann</v>
      </c>
      <c r="P32" s="35">
        <f>bittrex[[#This Row],[Column1.Last]]</f>
        <v>6.3199999999999996E-6</v>
      </c>
    </row>
    <row r="33" spans="1:16">
      <c r="A33" t="s">
        <v>466</v>
      </c>
      <c r="B33">
        <v>4.0000000000000003E-5</v>
      </c>
      <c r="C33">
        <v>3.4999999999999997E-5</v>
      </c>
      <c r="D33">
        <v>2405638.67652559</v>
      </c>
      <c r="E33">
        <v>3.8340000000000002E-5</v>
      </c>
      <c r="F33">
        <v>90.378448789999993</v>
      </c>
      <c r="G33" t="s">
        <v>1284</v>
      </c>
      <c r="H33">
        <v>3.782E-5</v>
      </c>
      <c r="I33">
        <v>3.8300000000000003E-5</v>
      </c>
      <c r="J33">
        <v>385</v>
      </c>
      <c r="K33">
        <v>3665</v>
      </c>
      <c r="L33">
        <v>3.7280000000000002E-5</v>
      </c>
      <c r="M33" t="s">
        <v>467</v>
      </c>
      <c r="N33" s="29" t="str">
        <f>LOWER(CONCATENATE("bittrex:",SUBSTITUTE(bittrex[[#This Row],[Column1.MarketName]],"-","")))</f>
        <v>bittrex:btccfi</v>
      </c>
      <c r="O33" s="26" t="str">
        <f>LOWER(CONCATENATE(SUBSTITUTE(bittrex[[#This Row],[Column1.MarketName]],"-","")))</f>
        <v>btccfi</v>
      </c>
      <c r="P33" s="35">
        <f>bittrex[[#This Row],[Column1.Last]]</f>
        <v>3.8340000000000002E-5</v>
      </c>
    </row>
    <row r="34" spans="1:16">
      <c r="A34" t="s">
        <v>468</v>
      </c>
      <c r="B34">
        <v>1.6785999999999999E-3</v>
      </c>
      <c r="C34">
        <v>1.6277100000000001E-3</v>
      </c>
      <c r="D34">
        <v>4085.4545782300002</v>
      </c>
      <c r="E34">
        <v>1.64715E-3</v>
      </c>
      <c r="F34">
        <v>6.7449512599999997</v>
      </c>
      <c r="G34" t="s">
        <v>1285</v>
      </c>
      <c r="H34">
        <v>1.6383000000000001E-3</v>
      </c>
      <c r="I34">
        <v>1.64715E-3</v>
      </c>
      <c r="J34">
        <v>188</v>
      </c>
      <c r="K34">
        <v>1281</v>
      </c>
      <c r="L34">
        <v>1.6778699999999999E-3</v>
      </c>
      <c r="M34" t="s">
        <v>469</v>
      </c>
      <c r="N34" s="29" t="str">
        <f>LOWER(CONCATENATE("bittrex:",SUBSTITUTE(bittrex[[#This Row],[Column1.MarketName]],"-","")))</f>
        <v>bittrex:btcclam</v>
      </c>
      <c r="O34" s="26" t="str">
        <f>LOWER(CONCATENATE(SUBSTITUTE(bittrex[[#This Row],[Column1.MarketName]],"-","")))</f>
        <v>btcclam</v>
      </c>
      <c r="P34" s="35">
        <f>bittrex[[#This Row],[Column1.Last]]</f>
        <v>1.64715E-3</v>
      </c>
    </row>
    <row r="35" spans="1:16">
      <c r="A35" t="s">
        <v>470</v>
      </c>
      <c r="B35">
        <v>1.3749999999999999E-3</v>
      </c>
      <c r="C35">
        <v>1.2149999999999999E-3</v>
      </c>
      <c r="D35">
        <v>44656.650090709998</v>
      </c>
      <c r="E35">
        <v>1.3239899999999999E-3</v>
      </c>
      <c r="F35">
        <v>57.622152800000002</v>
      </c>
      <c r="G35" t="s">
        <v>1286</v>
      </c>
      <c r="H35">
        <v>1.2911400000000001E-3</v>
      </c>
      <c r="I35">
        <v>1.3199900000000001E-3</v>
      </c>
      <c r="J35">
        <v>539</v>
      </c>
      <c r="K35">
        <v>1515</v>
      </c>
      <c r="L35">
        <v>1.2997200000000001E-3</v>
      </c>
      <c r="M35" t="s">
        <v>471</v>
      </c>
      <c r="N35" s="29" t="str">
        <f>LOWER(CONCATENATE("bittrex:",SUBSTITUTE(bittrex[[#This Row],[Column1.MarketName]],"-","")))</f>
        <v>bittrex:btccloak</v>
      </c>
      <c r="O35" s="26" t="str">
        <f>LOWER(CONCATENATE(SUBSTITUTE(bittrex[[#This Row],[Column1.MarketName]],"-","")))</f>
        <v>btccloak</v>
      </c>
      <c r="P35" s="35">
        <f>bittrex[[#This Row],[Column1.Last]]</f>
        <v>1.3239899999999999E-3</v>
      </c>
    </row>
    <row r="36" spans="1:16">
      <c r="A36" t="s">
        <v>472</v>
      </c>
      <c r="B36">
        <v>8.9289999999999994E-5</v>
      </c>
      <c r="C36">
        <v>8.6000000000000003E-5</v>
      </c>
      <c r="D36">
        <v>64409.315172709998</v>
      </c>
      <c r="E36">
        <v>8.9289999999999994E-5</v>
      </c>
      <c r="F36">
        <v>5.6289336499999996</v>
      </c>
      <c r="G36" t="s">
        <v>1287</v>
      </c>
      <c r="H36">
        <v>8.9289999999999994E-5</v>
      </c>
      <c r="I36">
        <v>8.9400000000000005E-5</v>
      </c>
      <c r="J36">
        <v>151</v>
      </c>
      <c r="K36">
        <v>2168</v>
      </c>
      <c r="L36">
        <v>8.7410000000000005E-5</v>
      </c>
      <c r="M36" t="s">
        <v>473</v>
      </c>
      <c r="N36" s="29" t="str">
        <f>LOWER(CONCATENATE("bittrex:",SUBSTITUTE(bittrex[[#This Row],[Column1.MarketName]],"-","")))</f>
        <v>bittrex:btcclub</v>
      </c>
      <c r="O36" s="26" t="str">
        <f>LOWER(CONCATENATE(SUBSTITUTE(bittrex[[#This Row],[Column1.MarketName]],"-","")))</f>
        <v>btcclub</v>
      </c>
      <c r="P36" s="35">
        <f>bittrex[[#This Row],[Column1.Last]]</f>
        <v>8.9289999999999994E-5</v>
      </c>
    </row>
    <row r="37" spans="1:16">
      <c r="A37" t="s">
        <v>474</v>
      </c>
      <c r="B37">
        <v>1.3599999999999999E-6</v>
      </c>
      <c r="C37">
        <v>1.2300000000000001E-6</v>
      </c>
      <c r="D37">
        <v>16203846.26148152</v>
      </c>
      <c r="E37">
        <v>1.28E-6</v>
      </c>
      <c r="F37">
        <v>20.991104570000001</v>
      </c>
      <c r="G37" t="s">
        <v>1288</v>
      </c>
      <c r="H37">
        <v>1.2699999999999999E-6</v>
      </c>
      <c r="I37">
        <v>1.28E-6</v>
      </c>
      <c r="J37">
        <v>337</v>
      </c>
      <c r="K37">
        <v>3872</v>
      </c>
      <c r="L37">
        <v>1.2500000000000001E-6</v>
      </c>
      <c r="M37" t="s">
        <v>475</v>
      </c>
      <c r="N37" s="29" t="str">
        <f>LOWER(CONCATENATE("bittrex:",SUBSTITUTE(bittrex[[#This Row],[Column1.MarketName]],"-","")))</f>
        <v>bittrex:btccoval</v>
      </c>
      <c r="O37" s="26" t="str">
        <f>LOWER(CONCATENATE(SUBSTITUTE(bittrex[[#This Row],[Column1.MarketName]],"-","")))</f>
        <v>btccoval</v>
      </c>
      <c r="P37" s="35">
        <f>bittrex[[#This Row],[Column1.Last]]</f>
        <v>1.28E-6</v>
      </c>
    </row>
    <row r="38" spans="1:16">
      <c r="A38" t="s">
        <v>476</v>
      </c>
      <c r="B38">
        <v>1.4995000000000001E-4</v>
      </c>
      <c r="C38">
        <v>1.3605E-4</v>
      </c>
      <c r="D38">
        <v>169531.67361294999</v>
      </c>
      <c r="E38">
        <v>1.4677000000000001E-4</v>
      </c>
      <c r="F38">
        <v>23.863856040000002</v>
      </c>
      <c r="G38" t="s">
        <v>1289</v>
      </c>
      <c r="H38">
        <v>1.4677000000000001E-4</v>
      </c>
      <c r="I38">
        <v>1.4699E-4</v>
      </c>
      <c r="J38">
        <v>264</v>
      </c>
      <c r="K38">
        <v>2029</v>
      </c>
      <c r="L38">
        <v>1.4197E-4</v>
      </c>
      <c r="M38" t="s">
        <v>477</v>
      </c>
      <c r="N38" s="29" t="str">
        <f>LOWER(CONCATENATE("bittrex:",SUBSTITUTE(bittrex[[#This Row],[Column1.MarketName]],"-","")))</f>
        <v>bittrex:btccpc</v>
      </c>
      <c r="O38" s="26" t="str">
        <f>LOWER(CONCATENATE(SUBSTITUTE(bittrex[[#This Row],[Column1.MarketName]],"-","")))</f>
        <v>btccpc</v>
      </c>
      <c r="P38" s="35">
        <f>bittrex[[#This Row],[Column1.Last]]</f>
        <v>1.4677000000000001E-4</v>
      </c>
    </row>
    <row r="39" spans="1:16">
      <c r="A39" t="s">
        <v>478</v>
      </c>
      <c r="B39">
        <v>1.76E-4</v>
      </c>
      <c r="C39">
        <v>1.45E-4</v>
      </c>
      <c r="D39">
        <v>186276.08112036</v>
      </c>
      <c r="E39">
        <v>1.5849000000000001E-4</v>
      </c>
      <c r="F39">
        <v>30.040943670000001</v>
      </c>
      <c r="G39" t="s">
        <v>1290</v>
      </c>
      <c r="H39">
        <v>1.5899999999999999E-4</v>
      </c>
      <c r="I39">
        <v>1.6009999999999999E-4</v>
      </c>
      <c r="J39">
        <v>197</v>
      </c>
      <c r="K39">
        <v>2267</v>
      </c>
      <c r="L39">
        <v>1.7231000000000001E-4</v>
      </c>
      <c r="M39" t="s">
        <v>479</v>
      </c>
      <c r="N39" s="29" t="str">
        <f>LOWER(CONCATENATE("bittrex:",SUBSTITUTE(bittrex[[#This Row],[Column1.MarketName]],"-","")))</f>
        <v>bittrex:btccrb</v>
      </c>
      <c r="O39" s="26" t="str">
        <f>LOWER(CONCATENATE(SUBSTITUTE(bittrex[[#This Row],[Column1.MarketName]],"-","")))</f>
        <v>btccrb</v>
      </c>
      <c r="P39" s="35">
        <f>bittrex[[#This Row],[Column1.Last]]</f>
        <v>1.5849000000000001E-4</v>
      </c>
    </row>
    <row r="40" spans="1:16">
      <c r="A40" t="s">
        <v>480</v>
      </c>
      <c r="B40">
        <v>3.3E-4</v>
      </c>
      <c r="C40">
        <v>3.1500000000000001E-4</v>
      </c>
      <c r="D40">
        <v>26540.060521079999</v>
      </c>
      <c r="E40">
        <v>3.2231000000000002E-4</v>
      </c>
      <c r="F40">
        <v>8.5428532199999996</v>
      </c>
      <c r="G40" t="s">
        <v>1291</v>
      </c>
      <c r="H40">
        <v>3.2231000000000002E-4</v>
      </c>
      <c r="I40">
        <v>3.2595999999999998E-4</v>
      </c>
      <c r="J40">
        <v>374</v>
      </c>
      <c r="K40">
        <v>1450</v>
      </c>
      <c r="L40">
        <v>3.2590000000000001E-4</v>
      </c>
      <c r="M40" t="s">
        <v>481</v>
      </c>
      <c r="N40" s="29" t="str">
        <f>LOWER(CONCATENATE("bittrex:",SUBSTITUTE(bittrex[[#This Row],[Column1.MarketName]],"-","")))</f>
        <v>bittrex:btccrw</v>
      </c>
      <c r="O40" s="26" t="str">
        <f>LOWER(CONCATENATE(SUBSTITUTE(bittrex[[#This Row],[Column1.MarketName]],"-","")))</f>
        <v>btccrw</v>
      </c>
      <c r="P40" s="35">
        <f>bittrex[[#This Row],[Column1.Last]]</f>
        <v>3.2231000000000002E-4</v>
      </c>
    </row>
    <row r="41" spans="1:16">
      <c r="A41" t="s">
        <v>482</v>
      </c>
      <c r="B41">
        <v>6.2539999999999994E-5</v>
      </c>
      <c r="C41">
        <v>5.0000000000000002E-5</v>
      </c>
      <c r="D41">
        <v>257870.97101782</v>
      </c>
      <c r="E41">
        <v>5.6719999999999999E-5</v>
      </c>
      <c r="F41">
        <v>14.59980489</v>
      </c>
      <c r="G41" t="s">
        <v>1292</v>
      </c>
      <c r="H41">
        <v>5.6719999999999999E-5</v>
      </c>
      <c r="I41">
        <v>5.7000000000000003E-5</v>
      </c>
      <c r="J41">
        <v>259</v>
      </c>
      <c r="K41">
        <v>2052</v>
      </c>
      <c r="L41">
        <v>5.0000000000000002E-5</v>
      </c>
      <c r="M41" t="s">
        <v>483</v>
      </c>
      <c r="N41" s="29" t="str">
        <f>LOWER(CONCATENATE("bittrex:",SUBSTITUTE(bittrex[[#This Row],[Column1.MarketName]],"-","")))</f>
        <v>bittrex:btccure</v>
      </c>
      <c r="O41" s="26" t="str">
        <f>LOWER(CONCATENATE(SUBSTITUTE(bittrex[[#This Row],[Column1.MarketName]],"-","")))</f>
        <v>btccure</v>
      </c>
      <c r="P41" s="35">
        <f>bittrex[[#This Row],[Column1.Last]]</f>
        <v>5.6719999999999999E-5</v>
      </c>
    </row>
    <row r="42" spans="1:16">
      <c r="A42" t="s">
        <v>484</v>
      </c>
      <c r="B42">
        <v>9.8999999999999994E-5</v>
      </c>
      <c r="C42">
        <v>8.8999999999999995E-5</v>
      </c>
      <c r="D42">
        <v>5764207.1429501399</v>
      </c>
      <c r="E42">
        <v>9.1310000000000005E-5</v>
      </c>
      <c r="F42">
        <v>534.05210968999995</v>
      </c>
      <c r="G42" t="s">
        <v>1293</v>
      </c>
      <c r="H42">
        <v>9.132E-5</v>
      </c>
      <c r="I42">
        <v>9.2E-5</v>
      </c>
      <c r="J42">
        <v>899</v>
      </c>
      <c r="K42">
        <v>8068</v>
      </c>
      <c r="L42">
        <v>9.5820000000000001E-5</v>
      </c>
      <c r="M42" t="s">
        <v>485</v>
      </c>
      <c r="N42" s="29" t="str">
        <f>LOWER(CONCATENATE("bittrex:",SUBSTITUTE(bittrex[[#This Row],[Column1.MarketName]],"-","")))</f>
        <v>bittrex:btccvc</v>
      </c>
      <c r="O42" s="26" t="str">
        <f>LOWER(CONCATENATE(SUBSTITUTE(bittrex[[#This Row],[Column1.MarketName]],"-","")))</f>
        <v>btccvc</v>
      </c>
      <c r="P42" s="35">
        <f>bittrex[[#This Row],[Column1.Last]]</f>
        <v>9.1310000000000005E-5</v>
      </c>
    </row>
    <row r="43" spans="1:16">
      <c r="A43" t="s">
        <v>486</v>
      </c>
      <c r="B43">
        <v>7.8869999999999995E-5</v>
      </c>
      <c r="C43">
        <v>7.0019999999999997E-5</v>
      </c>
      <c r="D43">
        <v>88033.491110300005</v>
      </c>
      <c r="E43">
        <v>7.3650000000000001E-5</v>
      </c>
      <c r="F43">
        <v>6.4726754199999998</v>
      </c>
      <c r="G43" t="s">
        <v>1294</v>
      </c>
      <c r="H43">
        <v>7.2130000000000002E-5</v>
      </c>
      <c r="I43">
        <v>7.3889999999999999E-5</v>
      </c>
      <c r="J43">
        <v>142</v>
      </c>
      <c r="K43">
        <v>1407</v>
      </c>
      <c r="L43">
        <v>7.8869999999999995E-5</v>
      </c>
      <c r="M43" t="s">
        <v>487</v>
      </c>
      <c r="N43" s="29" t="str">
        <f>LOWER(CONCATENATE("bittrex:",SUBSTITUTE(bittrex[[#This Row],[Column1.MarketName]],"-","")))</f>
        <v>bittrex:btcdar</v>
      </c>
      <c r="O43" s="26" t="str">
        <f>LOWER(CONCATENATE(SUBSTITUTE(bittrex[[#This Row],[Column1.MarketName]],"-","")))</f>
        <v>btcdar</v>
      </c>
      <c r="P43" s="35">
        <f>bittrex[[#This Row],[Column1.Last]]</f>
        <v>7.3650000000000001E-5</v>
      </c>
    </row>
    <row r="44" spans="1:16">
      <c r="A44" t="s">
        <v>488</v>
      </c>
      <c r="B44">
        <v>7.5868870000000005E-2</v>
      </c>
      <c r="C44">
        <v>7.310353E-2</v>
      </c>
      <c r="D44">
        <v>4254.1039815499998</v>
      </c>
      <c r="E44">
        <v>7.5402960000000005E-2</v>
      </c>
      <c r="F44">
        <v>318.06510020000002</v>
      </c>
      <c r="G44" t="s">
        <v>1295</v>
      </c>
      <c r="H44">
        <v>7.5270080000000003E-2</v>
      </c>
      <c r="I44">
        <v>7.5402999999999998E-2</v>
      </c>
      <c r="J44">
        <v>1170</v>
      </c>
      <c r="K44">
        <v>3166</v>
      </c>
      <c r="L44">
        <v>7.4661149999999996E-2</v>
      </c>
      <c r="M44" t="s">
        <v>489</v>
      </c>
      <c r="N44" s="29" t="str">
        <f>LOWER(CONCATENATE("bittrex:",SUBSTITUTE(bittrex[[#This Row],[Column1.MarketName]],"-","")))</f>
        <v>bittrex:btcdash</v>
      </c>
      <c r="O44" s="26" t="str">
        <f>LOWER(CONCATENATE(SUBSTITUTE(bittrex[[#This Row],[Column1.MarketName]],"-","")))</f>
        <v>btcdash</v>
      </c>
      <c r="P44" s="35">
        <f>bittrex[[#This Row],[Column1.Last]]</f>
        <v>7.5402960000000005E-2</v>
      </c>
    </row>
    <row r="45" spans="1:16">
      <c r="A45" t="s">
        <v>490</v>
      </c>
      <c r="B45">
        <v>7.6296100000000002E-3</v>
      </c>
      <c r="C45">
        <v>7.0800000000000004E-3</v>
      </c>
      <c r="D45">
        <v>15719.696382059999</v>
      </c>
      <c r="E45">
        <v>7.4106299999999996E-3</v>
      </c>
      <c r="F45">
        <v>115.4915902</v>
      </c>
      <c r="G45" t="s">
        <v>1274</v>
      </c>
      <c r="H45">
        <v>7.4073000000000003E-3</v>
      </c>
      <c r="I45">
        <v>7.5197600000000003E-3</v>
      </c>
      <c r="J45">
        <v>531</v>
      </c>
      <c r="K45">
        <v>3227</v>
      </c>
      <c r="L45">
        <v>7.3121799999999997E-3</v>
      </c>
      <c r="M45" t="s">
        <v>491</v>
      </c>
      <c r="N45" s="29" t="str">
        <f>LOWER(CONCATENATE("bittrex:",SUBSTITUTE(bittrex[[#This Row],[Column1.MarketName]],"-","")))</f>
        <v>bittrex:btcdcr</v>
      </c>
      <c r="O45" s="26" t="str">
        <f>LOWER(CONCATENATE(SUBSTITUTE(bittrex[[#This Row],[Column1.MarketName]],"-","")))</f>
        <v>btcdcr</v>
      </c>
      <c r="P45" s="35">
        <f>bittrex[[#This Row],[Column1.Last]]</f>
        <v>7.4106299999999996E-3</v>
      </c>
    </row>
    <row r="46" spans="1:16">
      <c r="A46" t="s">
        <v>492</v>
      </c>
      <c r="B46">
        <v>2.1109000000000001E-4</v>
      </c>
      <c r="C46">
        <v>1.7920999999999999E-4</v>
      </c>
      <c r="D46">
        <v>634398.32205574994</v>
      </c>
      <c r="E46">
        <v>2.0007E-4</v>
      </c>
      <c r="F46">
        <v>123.46069338</v>
      </c>
      <c r="G46" t="s">
        <v>1296</v>
      </c>
      <c r="H46">
        <v>1.9900000000000001E-4</v>
      </c>
      <c r="I46">
        <v>2.0100000000000001E-4</v>
      </c>
      <c r="J46">
        <v>249</v>
      </c>
      <c r="K46">
        <v>3984</v>
      </c>
      <c r="L46">
        <v>1.9835E-4</v>
      </c>
      <c r="M46" t="s">
        <v>493</v>
      </c>
      <c r="N46" s="29" t="str">
        <f>LOWER(CONCATENATE("bittrex:",SUBSTITUTE(bittrex[[#This Row],[Column1.MarketName]],"-","")))</f>
        <v>bittrex:btcdct</v>
      </c>
      <c r="O46" s="26" t="str">
        <f>LOWER(CONCATENATE(SUBSTITUTE(bittrex[[#This Row],[Column1.MarketName]],"-","")))</f>
        <v>btcdct</v>
      </c>
      <c r="P46" s="35">
        <f>bittrex[[#This Row],[Column1.Last]]</f>
        <v>2.0007E-4</v>
      </c>
    </row>
    <row r="47" spans="1:16">
      <c r="A47" t="s">
        <v>494</v>
      </c>
      <c r="B47">
        <v>4.1999999999999996E-6</v>
      </c>
      <c r="C47">
        <v>3.76E-6</v>
      </c>
      <c r="D47">
        <v>226637188.60643604</v>
      </c>
      <c r="E47">
        <v>3.9199999999999997E-6</v>
      </c>
      <c r="F47">
        <v>902.94729624000001</v>
      </c>
      <c r="G47" t="s">
        <v>1297</v>
      </c>
      <c r="H47">
        <v>3.8999999999999999E-6</v>
      </c>
      <c r="I47">
        <v>3.9199999999999997E-6</v>
      </c>
      <c r="J47">
        <v>1562</v>
      </c>
      <c r="K47">
        <v>19493</v>
      </c>
      <c r="L47">
        <v>4.1500000000000001E-6</v>
      </c>
      <c r="M47" t="s">
        <v>495</v>
      </c>
      <c r="N47" s="29" t="str">
        <f>LOWER(CONCATENATE("bittrex:",SUBSTITUTE(bittrex[[#This Row],[Column1.MarketName]],"-","")))</f>
        <v>bittrex:btcdgb</v>
      </c>
      <c r="O47" s="26" t="str">
        <f>LOWER(CONCATENATE(SUBSTITUTE(bittrex[[#This Row],[Column1.MarketName]],"-","")))</f>
        <v>btcdgb</v>
      </c>
      <c r="P47" s="35">
        <f>bittrex[[#This Row],[Column1.Last]]</f>
        <v>3.9199999999999997E-6</v>
      </c>
    </row>
    <row r="48" spans="1:16">
      <c r="A48" t="s">
        <v>496</v>
      </c>
      <c r="B48">
        <v>0.02</v>
      </c>
      <c r="C48">
        <v>1.8753849999999999E-2</v>
      </c>
      <c r="D48">
        <v>1437.3291142800001</v>
      </c>
      <c r="E48">
        <v>1.91348E-2</v>
      </c>
      <c r="F48">
        <v>27.799639389999999</v>
      </c>
      <c r="G48" t="s">
        <v>1298</v>
      </c>
      <c r="H48">
        <v>1.8810210000000001E-2</v>
      </c>
      <c r="I48">
        <v>1.9133359999999999E-2</v>
      </c>
      <c r="J48">
        <v>236</v>
      </c>
      <c r="K48">
        <v>770</v>
      </c>
      <c r="L48">
        <v>1.9050000000000001E-2</v>
      </c>
      <c r="M48" t="s">
        <v>497</v>
      </c>
      <c r="N48" s="29" t="str">
        <f>LOWER(CONCATENATE("bittrex:",SUBSTITUTE(bittrex[[#This Row],[Column1.MarketName]],"-","")))</f>
        <v>bittrex:btcdgd</v>
      </c>
      <c r="O48" s="26" t="str">
        <f>LOWER(CONCATENATE(SUBSTITUTE(bittrex[[#This Row],[Column1.MarketName]],"-","")))</f>
        <v>btcdgd</v>
      </c>
      <c r="P48" s="35">
        <f>bittrex[[#This Row],[Column1.Last]]</f>
        <v>1.91348E-2</v>
      </c>
    </row>
    <row r="49" spans="1:16">
      <c r="A49" t="s">
        <v>498</v>
      </c>
      <c r="B49">
        <v>1.3978199999999999E-3</v>
      </c>
      <c r="C49">
        <v>1.33299E-3</v>
      </c>
      <c r="D49">
        <v>9452.0734064299995</v>
      </c>
      <c r="E49">
        <v>1.3402500000000001E-3</v>
      </c>
      <c r="F49">
        <v>12.81284702</v>
      </c>
      <c r="G49" t="s">
        <v>1299</v>
      </c>
      <c r="H49">
        <v>1.3404300000000001E-3</v>
      </c>
      <c r="I49">
        <v>1.35998E-3</v>
      </c>
      <c r="J49">
        <v>1002</v>
      </c>
      <c r="K49">
        <v>1420</v>
      </c>
      <c r="L49">
        <v>1.39393E-3</v>
      </c>
      <c r="M49" t="s">
        <v>499</v>
      </c>
      <c r="N49" s="29" t="str">
        <f>LOWER(CONCATENATE("bittrex:",SUBSTITUTE(bittrex[[#This Row],[Column1.MarketName]],"-","")))</f>
        <v>bittrex:btcdmd</v>
      </c>
      <c r="O49" s="26" t="str">
        <f>LOWER(CONCATENATE(SUBSTITUTE(bittrex[[#This Row],[Column1.MarketName]],"-","")))</f>
        <v>btcdmd</v>
      </c>
      <c r="P49" s="35">
        <f>bittrex[[#This Row],[Column1.Last]]</f>
        <v>1.3402500000000001E-3</v>
      </c>
    </row>
    <row r="50" spans="1:16">
      <c r="A50" t="s">
        <v>500</v>
      </c>
      <c r="B50">
        <v>4.4999999999999998E-7</v>
      </c>
      <c r="C50">
        <v>4.2E-7</v>
      </c>
      <c r="D50">
        <v>286436327.521676</v>
      </c>
      <c r="E50">
        <v>4.3000000000000001E-7</v>
      </c>
      <c r="F50">
        <v>123.93732065</v>
      </c>
      <c r="G50" t="s">
        <v>1300</v>
      </c>
      <c r="H50">
        <v>4.2E-7</v>
      </c>
      <c r="I50">
        <v>4.3000000000000001E-7</v>
      </c>
      <c r="J50">
        <v>1174</v>
      </c>
      <c r="K50">
        <v>9195</v>
      </c>
      <c r="L50">
        <v>4.3000000000000001E-7</v>
      </c>
      <c r="M50" t="s">
        <v>501</v>
      </c>
      <c r="N50" s="29" t="str">
        <f>LOWER(CONCATENATE("bittrex:",SUBSTITUTE(bittrex[[#This Row],[Column1.MarketName]],"-","")))</f>
        <v>bittrex:btcdoge</v>
      </c>
      <c r="O50" s="26" t="str">
        <f>LOWER(CONCATENATE(SUBSTITUTE(bittrex[[#This Row],[Column1.MarketName]],"-","")))</f>
        <v>btcdoge</v>
      </c>
      <c r="P50" s="35">
        <f>bittrex[[#This Row],[Column1.Last]]</f>
        <v>4.3000000000000001E-7</v>
      </c>
    </row>
    <row r="51" spans="1:16">
      <c r="A51" t="s">
        <v>502</v>
      </c>
      <c r="B51">
        <v>6.1500000000000004E-6</v>
      </c>
      <c r="C51">
        <v>5.8000000000000004E-6</v>
      </c>
      <c r="D51">
        <v>468155.07498784998</v>
      </c>
      <c r="E51">
        <v>5.8900000000000004E-6</v>
      </c>
      <c r="F51">
        <v>2.80732253</v>
      </c>
      <c r="G51" t="s">
        <v>1301</v>
      </c>
      <c r="H51">
        <v>5.8100000000000003E-6</v>
      </c>
      <c r="I51">
        <v>5.8799999999999996E-6</v>
      </c>
      <c r="J51">
        <v>274</v>
      </c>
      <c r="K51">
        <v>2728</v>
      </c>
      <c r="L51">
        <v>5.9900000000000002E-6</v>
      </c>
      <c r="M51" t="s">
        <v>503</v>
      </c>
      <c r="N51" s="29" t="str">
        <f>LOWER(CONCATENATE("bittrex:",SUBSTITUTE(bittrex[[#This Row],[Column1.MarketName]],"-","")))</f>
        <v>bittrex:btcdope</v>
      </c>
      <c r="O51" s="26" t="str">
        <f>LOWER(CONCATENATE(SUBSTITUTE(bittrex[[#This Row],[Column1.MarketName]],"-","")))</f>
        <v>btcdope</v>
      </c>
      <c r="P51" s="35">
        <f>bittrex[[#This Row],[Column1.Last]]</f>
        <v>5.8900000000000004E-6</v>
      </c>
    </row>
    <row r="52" spans="1:16">
      <c r="A52" t="s">
        <v>504</v>
      </c>
      <c r="B52">
        <v>3.1999999999999999E-6</v>
      </c>
      <c r="C52">
        <v>2.7999999999999999E-6</v>
      </c>
      <c r="D52">
        <v>1958261.9844496599</v>
      </c>
      <c r="E52">
        <v>3.0000000000000001E-6</v>
      </c>
      <c r="F52">
        <v>5.8358232599999997</v>
      </c>
      <c r="G52" t="s">
        <v>1302</v>
      </c>
      <c r="H52">
        <v>3.0000000000000001E-6</v>
      </c>
      <c r="I52">
        <v>3.0199999999999999E-6</v>
      </c>
      <c r="J52">
        <v>308</v>
      </c>
      <c r="K52">
        <v>2430</v>
      </c>
      <c r="L52">
        <v>2.9799999999999998E-6</v>
      </c>
      <c r="M52" t="s">
        <v>505</v>
      </c>
      <c r="N52" s="29" t="str">
        <f>LOWER(CONCATENATE("bittrex:",SUBSTITUTE(bittrex[[#This Row],[Column1.MarketName]],"-","")))</f>
        <v>bittrex:btcdraco</v>
      </c>
      <c r="O52" s="26" t="str">
        <f>LOWER(CONCATENATE(SUBSTITUTE(bittrex[[#This Row],[Column1.MarketName]],"-","")))</f>
        <v>btcdraco</v>
      </c>
      <c r="P52" s="35">
        <f>bittrex[[#This Row],[Column1.Last]]</f>
        <v>3.0000000000000001E-6</v>
      </c>
    </row>
    <row r="53" spans="1:16">
      <c r="A53" t="s">
        <v>506</v>
      </c>
      <c r="B53">
        <v>1.5238E-4</v>
      </c>
      <c r="C53">
        <v>1.3819E-4</v>
      </c>
      <c r="D53">
        <v>93371.262282070005</v>
      </c>
      <c r="E53">
        <v>1.4301E-4</v>
      </c>
      <c r="F53">
        <v>13.56705876</v>
      </c>
      <c r="G53" t="s">
        <v>1303</v>
      </c>
      <c r="H53">
        <v>1.4201E-4</v>
      </c>
      <c r="I53">
        <v>1.4465999999999999E-4</v>
      </c>
      <c r="J53">
        <v>185</v>
      </c>
      <c r="K53">
        <v>2993</v>
      </c>
      <c r="L53">
        <v>1.449E-4</v>
      </c>
      <c r="M53" t="s">
        <v>507</v>
      </c>
      <c r="N53" s="29" t="str">
        <f>LOWER(CONCATENATE("bittrex:",SUBSTITUTE(bittrex[[#This Row],[Column1.MarketName]],"-","")))</f>
        <v>bittrex:btcdtb</v>
      </c>
      <c r="O53" s="26" t="str">
        <f>LOWER(CONCATENATE(SUBSTITUTE(bittrex[[#This Row],[Column1.MarketName]],"-","")))</f>
        <v>btcdtb</v>
      </c>
      <c r="P53" s="35">
        <f>bittrex[[#This Row],[Column1.Last]]</f>
        <v>1.4301E-4</v>
      </c>
    </row>
    <row r="54" spans="1:16">
      <c r="A54" t="s">
        <v>508</v>
      </c>
      <c r="B54">
        <v>5.4546E-4</v>
      </c>
      <c r="C54">
        <v>5.0013E-4</v>
      </c>
      <c r="D54">
        <v>7912.7721424800002</v>
      </c>
      <c r="E54">
        <v>5.2934E-4</v>
      </c>
      <c r="F54">
        <v>4.0417358099999996</v>
      </c>
      <c r="G54" t="s">
        <v>1304</v>
      </c>
      <c r="H54">
        <v>5.2934E-4</v>
      </c>
      <c r="I54">
        <v>5.3434000000000001E-4</v>
      </c>
      <c r="J54">
        <v>170</v>
      </c>
      <c r="K54">
        <v>1005</v>
      </c>
      <c r="L54">
        <v>5.2718999999999997E-4</v>
      </c>
      <c r="M54" t="s">
        <v>509</v>
      </c>
      <c r="N54" s="29" t="str">
        <f>LOWER(CONCATENATE("bittrex:",SUBSTITUTE(bittrex[[#This Row],[Column1.MarketName]],"-","")))</f>
        <v>bittrex:btcdyn</v>
      </c>
      <c r="O54" s="26" t="str">
        <f>LOWER(CONCATENATE(SUBSTITUTE(bittrex[[#This Row],[Column1.MarketName]],"-","")))</f>
        <v>btcdyn</v>
      </c>
      <c r="P54" s="35">
        <f>bittrex[[#This Row],[Column1.Last]]</f>
        <v>5.2934E-4</v>
      </c>
    </row>
    <row r="55" spans="1:16">
      <c r="A55" t="s">
        <v>510</v>
      </c>
      <c r="B55">
        <v>3.4999999999999997E-5</v>
      </c>
      <c r="C55">
        <v>2.8989999999999999E-5</v>
      </c>
      <c r="D55">
        <v>809125.35416546999</v>
      </c>
      <c r="E55">
        <v>3.349E-5</v>
      </c>
      <c r="F55">
        <v>26.028897740000001</v>
      </c>
      <c r="G55" t="s">
        <v>1305</v>
      </c>
      <c r="H55">
        <v>3.349E-5</v>
      </c>
      <c r="I55">
        <v>3.4029999999999998E-5</v>
      </c>
      <c r="J55">
        <v>183</v>
      </c>
      <c r="K55">
        <v>2885</v>
      </c>
      <c r="L55">
        <v>3.0000000000000001E-5</v>
      </c>
      <c r="M55" t="s">
        <v>511</v>
      </c>
      <c r="N55" s="29" t="str">
        <f>LOWER(CONCATENATE("bittrex:",SUBSTITUTE(bittrex[[#This Row],[Column1.MarketName]],"-","")))</f>
        <v>bittrex:btcebst</v>
      </c>
      <c r="O55" s="26" t="str">
        <f>LOWER(CONCATENATE(SUBSTITUTE(bittrex[[#This Row],[Column1.MarketName]],"-","")))</f>
        <v>btcebst</v>
      </c>
      <c r="P55" s="35">
        <f>bittrex[[#This Row],[Column1.Last]]</f>
        <v>3.349E-5</v>
      </c>
    </row>
    <row r="56" spans="1:16">
      <c r="A56" t="s">
        <v>512</v>
      </c>
      <c r="B56">
        <v>1.6074000000000001E-4</v>
      </c>
      <c r="C56">
        <v>1.3999999999999999E-4</v>
      </c>
      <c r="D56">
        <v>1255940.49163549</v>
      </c>
      <c r="E56">
        <v>1.5161999999999999E-4</v>
      </c>
      <c r="F56">
        <v>184.88020535999999</v>
      </c>
      <c r="G56" t="s">
        <v>1306</v>
      </c>
      <c r="H56">
        <v>1.5161999999999999E-4</v>
      </c>
      <c r="I56">
        <v>1.5320000000000001E-4</v>
      </c>
      <c r="J56">
        <v>555</v>
      </c>
      <c r="K56">
        <v>3436</v>
      </c>
      <c r="L56">
        <v>1.4456000000000001E-4</v>
      </c>
      <c r="M56" t="s">
        <v>513</v>
      </c>
      <c r="N56" s="29" t="str">
        <f>LOWER(CONCATENATE("bittrex:",SUBSTITUTE(bittrex[[#This Row],[Column1.MarketName]],"-","")))</f>
        <v>bittrex:btcedg</v>
      </c>
      <c r="O56" s="26" t="str">
        <f>LOWER(CONCATENATE(SUBSTITUTE(bittrex[[#This Row],[Column1.MarketName]],"-","")))</f>
        <v>btcedg</v>
      </c>
      <c r="P56" s="35">
        <f>bittrex[[#This Row],[Column1.Last]]</f>
        <v>1.5161999999999999E-4</v>
      </c>
    </row>
    <row r="57" spans="1:16">
      <c r="A57" t="s">
        <v>514</v>
      </c>
      <c r="B57">
        <v>2.7229999999999998E-5</v>
      </c>
      <c r="C57">
        <v>2.4000000000000001E-5</v>
      </c>
      <c r="D57">
        <v>262794.61542445002</v>
      </c>
      <c r="E57">
        <v>2.5170000000000001E-5</v>
      </c>
      <c r="F57">
        <v>6.6895030799999997</v>
      </c>
      <c r="G57" t="s">
        <v>1307</v>
      </c>
      <c r="H57">
        <v>2.5170000000000001E-5</v>
      </c>
      <c r="I57">
        <v>2.5230000000000001E-5</v>
      </c>
      <c r="J57">
        <v>198</v>
      </c>
      <c r="K57">
        <v>1445</v>
      </c>
      <c r="L57">
        <v>2.7209999999999999E-5</v>
      </c>
      <c r="M57" t="s">
        <v>515</v>
      </c>
      <c r="N57" s="29" t="str">
        <f>LOWER(CONCATENATE("bittrex:",SUBSTITUTE(bittrex[[#This Row],[Column1.MarketName]],"-","")))</f>
        <v>bittrex:btcefl</v>
      </c>
      <c r="O57" s="26" t="str">
        <f>LOWER(CONCATENATE(SUBSTITUTE(bittrex[[#This Row],[Column1.MarketName]],"-","")))</f>
        <v>btcefl</v>
      </c>
      <c r="P57" s="35">
        <f>bittrex[[#This Row],[Column1.Last]]</f>
        <v>2.5170000000000001E-5</v>
      </c>
    </row>
    <row r="58" spans="1:16">
      <c r="A58" t="s">
        <v>516</v>
      </c>
      <c r="B58">
        <v>4.1990000000000003E-5</v>
      </c>
      <c r="C58">
        <v>4.0339999999999997E-5</v>
      </c>
      <c r="D58">
        <v>64773.817659790002</v>
      </c>
      <c r="E58">
        <v>4.0840000000000002E-5</v>
      </c>
      <c r="F58">
        <v>2.6650330100000001</v>
      </c>
      <c r="G58" t="s">
        <v>1308</v>
      </c>
      <c r="H58">
        <v>4.0840000000000002E-5</v>
      </c>
      <c r="I58">
        <v>4.0849999999999997E-5</v>
      </c>
      <c r="J58">
        <v>485</v>
      </c>
      <c r="K58">
        <v>2677</v>
      </c>
      <c r="L58">
        <v>4.1E-5</v>
      </c>
      <c r="M58" t="s">
        <v>517</v>
      </c>
      <c r="N58" s="29" t="str">
        <f>LOWER(CONCATENATE("bittrex:",SUBSTITUTE(bittrex[[#This Row],[Column1.MarketName]],"-","")))</f>
        <v>bittrex:btcegc</v>
      </c>
      <c r="O58" s="26" t="str">
        <f>LOWER(CONCATENATE(SUBSTITUTE(bittrex[[#This Row],[Column1.MarketName]],"-","")))</f>
        <v>btcegc</v>
      </c>
      <c r="P58" s="35">
        <f>bittrex[[#This Row],[Column1.Last]]</f>
        <v>4.0840000000000002E-5</v>
      </c>
    </row>
    <row r="59" spans="1:16">
      <c r="A59" t="s">
        <v>518</v>
      </c>
      <c r="B59">
        <v>2.5724999999999999E-4</v>
      </c>
      <c r="C59">
        <v>2.3085E-4</v>
      </c>
      <c r="D59">
        <v>43286.132913310001</v>
      </c>
      <c r="E59">
        <v>2.3772999999999999E-4</v>
      </c>
      <c r="F59">
        <v>10.539058130000001</v>
      </c>
      <c r="G59" t="s">
        <v>1309</v>
      </c>
      <c r="H59">
        <v>2.3772999999999999E-4</v>
      </c>
      <c r="I59">
        <v>2.3894000000000001E-4</v>
      </c>
      <c r="J59">
        <v>235</v>
      </c>
      <c r="K59">
        <v>1751</v>
      </c>
      <c r="L59">
        <v>2.4513999999999997E-4</v>
      </c>
      <c r="M59" t="s">
        <v>519</v>
      </c>
      <c r="N59" s="29" t="str">
        <f>LOWER(CONCATENATE("bittrex:",SUBSTITUTE(bittrex[[#This Row],[Column1.MarketName]],"-","")))</f>
        <v>bittrex:btcemc</v>
      </c>
      <c r="O59" s="26" t="str">
        <f>LOWER(CONCATENATE(SUBSTITUTE(bittrex[[#This Row],[Column1.MarketName]],"-","")))</f>
        <v>btcemc</v>
      </c>
      <c r="P59" s="35">
        <f>bittrex[[#This Row],[Column1.Last]]</f>
        <v>2.3772999999999999E-4</v>
      </c>
    </row>
    <row r="60" spans="1:16">
      <c r="A60" t="s">
        <v>520</v>
      </c>
      <c r="B60">
        <v>8.9700000000000005E-6</v>
      </c>
      <c r="C60">
        <v>8.3599999999999996E-6</v>
      </c>
      <c r="D60">
        <v>1337272.6198118201</v>
      </c>
      <c r="E60">
        <v>8.5199999999999997E-6</v>
      </c>
      <c r="F60">
        <v>11.53346035</v>
      </c>
      <c r="G60" t="s">
        <v>1310</v>
      </c>
      <c r="H60">
        <v>8.5199999999999997E-6</v>
      </c>
      <c r="I60">
        <v>8.6200000000000005E-6</v>
      </c>
      <c r="J60">
        <v>226</v>
      </c>
      <c r="K60">
        <v>3338</v>
      </c>
      <c r="L60">
        <v>8.7499999999999992E-6</v>
      </c>
      <c r="M60" t="s">
        <v>521</v>
      </c>
      <c r="N60" s="29" t="str">
        <f>LOWER(CONCATENATE("bittrex:",SUBSTITUTE(bittrex[[#This Row],[Column1.MarketName]],"-","")))</f>
        <v>bittrex:btcemc2</v>
      </c>
      <c r="O60" s="26" t="str">
        <f>LOWER(CONCATENATE(SUBSTITUTE(bittrex[[#This Row],[Column1.MarketName]],"-","")))</f>
        <v>btcemc2</v>
      </c>
      <c r="P60" s="35">
        <f>bittrex[[#This Row],[Column1.Last]]</f>
        <v>8.5199999999999997E-6</v>
      </c>
    </row>
    <row r="61" spans="1:16">
      <c r="A61" t="s">
        <v>522</v>
      </c>
      <c r="B61">
        <v>3.4980000000000001E-5</v>
      </c>
      <c r="C61">
        <v>2.7520000000000001E-5</v>
      </c>
      <c r="D61">
        <v>965828.54863632005</v>
      </c>
      <c r="E61">
        <v>2.8330000000000002E-5</v>
      </c>
      <c r="F61">
        <v>29.92283814</v>
      </c>
      <c r="G61" t="s">
        <v>1311</v>
      </c>
      <c r="H61">
        <v>2.8240000000000001E-5</v>
      </c>
      <c r="I61">
        <v>2.8330000000000002E-5</v>
      </c>
      <c r="J61">
        <v>359</v>
      </c>
      <c r="K61">
        <v>1979</v>
      </c>
      <c r="L61">
        <v>2.7520000000000001E-5</v>
      </c>
      <c r="M61" t="s">
        <v>523</v>
      </c>
      <c r="N61" s="29" t="str">
        <f>LOWER(CONCATENATE("bittrex:",SUBSTITUTE(bittrex[[#This Row],[Column1.MarketName]],"-","")))</f>
        <v>bittrex:btcenrg</v>
      </c>
      <c r="O61" s="26" t="str">
        <f>LOWER(CONCATENATE(SUBSTITUTE(bittrex[[#This Row],[Column1.MarketName]],"-","")))</f>
        <v>btcenrg</v>
      </c>
      <c r="P61" s="35">
        <f>bittrex[[#This Row],[Column1.Last]]</f>
        <v>2.8330000000000002E-5</v>
      </c>
    </row>
    <row r="62" spans="1:16">
      <c r="A62" t="s">
        <v>524</v>
      </c>
      <c r="B62">
        <v>1.1998999999999999E-4</v>
      </c>
      <c r="C62">
        <v>1.0061E-4</v>
      </c>
      <c r="D62">
        <v>220631.30002416001</v>
      </c>
      <c r="E62">
        <v>1.0537E-4</v>
      </c>
      <c r="F62">
        <v>23.37143232</v>
      </c>
      <c r="G62" t="s">
        <v>1312</v>
      </c>
      <c r="H62">
        <v>1.0538E-4</v>
      </c>
      <c r="I62">
        <v>1.0675000000000001E-4</v>
      </c>
      <c r="J62">
        <v>409</v>
      </c>
      <c r="K62">
        <v>1714</v>
      </c>
      <c r="L62">
        <v>1.0951999999999999E-4</v>
      </c>
      <c r="M62" t="s">
        <v>525</v>
      </c>
      <c r="N62" s="29" t="str">
        <f>LOWER(CONCATENATE("bittrex:",SUBSTITUTE(bittrex[[#This Row],[Column1.MarketName]],"-","")))</f>
        <v>bittrex:btcerc</v>
      </c>
      <c r="O62" s="26" t="str">
        <f>LOWER(CONCATENATE(SUBSTITUTE(bittrex[[#This Row],[Column1.MarketName]],"-","")))</f>
        <v>btcerc</v>
      </c>
      <c r="P62" s="35">
        <f>bittrex[[#This Row],[Column1.Last]]</f>
        <v>1.0537E-4</v>
      </c>
    </row>
    <row r="63" spans="1:16">
      <c r="A63" t="s">
        <v>526</v>
      </c>
      <c r="B63">
        <v>4.13E-3</v>
      </c>
      <c r="C63">
        <v>3.9305299999999998E-3</v>
      </c>
      <c r="D63">
        <v>112101.45889369999</v>
      </c>
      <c r="E63">
        <v>3.9932600000000002E-3</v>
      </c>
      <c r="F63">
        <v>450.06601053000003</v>
      </c>
      <c r="G63" t="s">
        <v>1313</v>
      </c>
      <c r="H63">
        <v>3.9701199999999997E-3</v>
      </c>
      <c r="I63">
        <v>3.9932500000000003E-3</v>
      </c>
      <c r="J63">
        <v>1002</v>
      </c>
      <c r="K63">
        <v>6712</v>
      </c>
      <c r="L63">
        <v>4.0800000000000003E-3</v>
      </c>
      <c r="M63" t="s">
        <v>527</v>
      </c>
      <c r="N63" s="29" t="str">
        <f>LOWER(CONCATENATE("bittrex:",SUBSTITUTE(bittrex[[#This Row],[Column1.MarketName]],"-","")))</f>
        <v>bittrex:btcetc</v>
      </c>
      <c r="O63" s="26" t="str">
        <f>LOWER(CONCATENATE(SUBSTITUTE(bittrex[[#This Row],[Column1.MarketName]],"-","")))</f>
        <v>btcetc</v>
      </c>
      <c r="P63" s="35">
        <f>bittrex[[#This Row],[Column1.Last]]</f>
        <v>3.9932600000000002E-3</v>
      </c>
    </row>
    <row r="64" spans="1:16">
      <c r="A64" t="s">
        <v>528</v>
      </c>
      <c r="B64">
        <v>7.2999999999999995E-2</v>
      </c>
      <c r="C64">
        <v>7.1001099999999998E-2</v>
      </c>
      <c r="D64">
        <v>70000.855243359998</v>
      </c>
      <c r="E64">
        <v>7.1800069999999994E-2</v>
      </c>
      <c r="F64">
        <v>5045.8664053900002</v>
      </c>
      <c r="G64" t="s">
        <v>1314</v>
      </c>
      <c r="H64">
        <v>7.1800069999999994E-2</v>
      </c>
      <c r="I64">
        <v>7.2040770000000004E-2</v>
      </c>
      <c r="J64">
        <v>3406</v>
      </c>
      <c r="K64">
        <v>13037</v>
      </c>
      <c r="L64">
        <v>7.2314989999999996E-2</v>
      </c>
      <c r="M64" t="s">
        <v>529</v>
      </c>
      <c r="N64" s="29" t="str">
        <f>LOWER(CONCATENATE("bittrex:",SUBSTITUTE(bittrex[[#This Row],[Column1.MarketName]],"-","")))</f>
        <v>bittrex:btceth</v>
      </c>
      <c r="O64" s="26" t="str">
        <f>LOWER(CONCATENATE(SUBSTITUTE(bittrex[[#This Row],[Column1.MarketName]],"-","")))</f>
        <v>btceth</v>
      </c>
      <c r="P64" s="35">
        <f>bittrex[[#This Row],[Column1.Last]]</f>
        <v>7.1800069999999994E-2</v>
      </c>
    </row>
    <row r="65" spans="1:16">
      <c r="A65" t="s">
        <v>530</v>
      </c>
      <c r="B65">
        <v>2.7810999999999998E-4</v>
      </c>
      <c r="C65">
        <v>2.6162000000000001E-4</v>
      </c>
      <c r="D65">
        <v>15648.48162131</v>
      </c>
      <c r="E65">
        <v>2.7530000000000002E-4</v>
      </c>
      <c r="F65">
        <v>4.2407982500000001</v>
      </c>
      <c r="G65" t="s">
        <v>1315</v>
      </c>
      <c r="H65">
        <v>2.7E-4</v>
      </c>
      <c r="I65">
        <v>2.7528999999999997E-4</v>
      </c>
      <c r="J65">
        <v>249</v>
      </c>
      <c r="K65">
        <v>875</v>
      </c>
      <c r="L65">
        <v>2.7810999999999998E-4</v>
      </c>
      <c r="M65" t="s">
        <v>531</v>
      </c>
      <c r="N65" s="29" t="str">
        <f>LOWER(CONCATENATE("bittrex:",SUBSTITUTE(bittrex[[#This Row],[Column1.MarketName]],"-","")))</f>
        <v>bittrex:btcexcl</v>
      </c>
      <c r="O65" s="26" t="str">
        <f>LOWER(CONCATENATE(SUBSTITUTE(bittrex[[#This Row],[Column1.MarketName]],"-","")))</f>
        <v>btcexcl</v>
      </c>
      <c r="P65" s="35">
        <f>bittrex[[#This Row],[Column1.Last]]</f>
        <v>2.7530000000000002E-4</v>
      </c>
    </row>
    <row r="66" spans="1:16">
      <c r="A66" t="s">
        <v>532</v>
      </c>
      <c r="B66">
        <v>7.6986000000000003E-4</v>
      </c>
      <c r="C66">
        <v>6.9300000000000004E-4</v>
      </c>
      <c r="D66">
        <v>128682.77725016999</v>
      </c>
      <c r="E66">
        <v>7.1005000000000005E-4</v>
      </c>
      <c r="F66">
        <v>92.794989619999996</v>
      </c>
      <c r="G66" t="s">
        <v>1316</v>
      </c>
      <c r="H66">
        <v>7.1005000000000005E-4</v>
      </c>
      <c r="I66">
        <v>7.1427000000000003E-4</v>
      </c>
      <c r="J66">
        <v>387</v>
      </c>
      <c r="K66">
        <v>2851</v>
      </c>
      <c r="L66">
        <v>7.6590999999999996E-4</v>
      </c>
      <c r="M66" t="s">
        <v>533</v>
      </c>
      <c r="N66" s="29" t="str">
        <f>LOWER(CONCATENATE("bittrex:",SUBSTITUTE(bittrex[[#This Row],[Column1.MarketName]],"-","")))</f>
        <v>bittrex:btcexp</v>
      </c>
      <c r="O66" s="26" t="str">
        <f>LOWER(CONCATENATE(SUBSTITUTE(bittrex[[#This Row],[Column1.MarketName]],"-","")))</f>
        <v>btcexp</v>
      </c>
      <c r="P66" s="35">
        <f>bittrex[[#This Row],[Column1.Last]]</f>
        <v>7.1005000000000005E-4</v>
      </c>
    </row>
    <row r="67" spans="1:16">
      <c r="A67" t="s">
        <v>534</v>
      </c>
      <c r="B67">
        <v>1.3603000000000001E-4</v>
      </c>
      <c r="C67">
        <v>1.2510000000000001E-4</v>
      </c>
      <c r="D67">
        <v>38144.346465950002</v>
      </c>
      <c r="E67">
        <v>1.2790999999999999E-4</v>
      </c>
      <c r="F67">
        <v>5.0347616799999999</v>
      </c>
      <c r="G67" t="s">
        <v>1317</v>
      </c>
      <c r="H67">
        <v>1.2794999999999999E-4</v>
      </c>
      <c r="I67">
        <v>1.2899999999999999E-4</v>
      </c>
      <c r="J67">
        <v>284</v>
      </c>
      <c r="K67">
        <v>812</v>
      </c>
      <c r="L67">
        <v>1.3603000000000001E-4</v>
      </c>
      <c r="M67" t="s">
        <v>535</v>
      </c>
      <c r="N67" s="29" t="str">
        <f>LOWER(CONCATENATE("bittrex:",SUBSTITUTE(bittrex[[#This Row],[Column1.MarketName]],"-","")))</f>
        <v>bittrex:btcfair</v>
      </c>
      <c r="O67" s="26" t="str">
        <f>LOWER(CONCATENATE(SUBSTITUTE(bittrex[[#This Row],[Column1.MarketName]],"-","")))</f>
        <v>btcfair</v>
      </c>
      <c r="P67" s="35">
        <f>bittrex[[#This Row],[Column1.Last]]</f>
        <v>1.2790999999999999E-4</v>
      </c>
    </row>
    <row r="68" spans="1:16">
      <c r="A68" t="s">
        <v>536</v>
      </c>
      <c r="B68">
        <v>6.3456199999999997E-3</v>
      </c>
      <c r="C68">
        <v>5.6625900000000003E-3</v>
      </c>
      <c r="D68">
        <v>45969.264726300004</v>
      </c>
      <c r="E68">
        <v>6.2810100000000001E-3</v>
      </c>
      <c r="F68">
        <v>274.75960648</v>
      </c>
      <c r="G68" t="s">
        <v>1318</v>
      </c>
      <c r="H68">
        <v>6.28102E-3</v>
      </c>
      <c r="I68">
        <v>6.2882700000000003E-3</v>
      </c>
      <c r="J68">
        <v>534</v>
      </c>
      <c r="K68">
        <v>2391</v>
      </c>
      <c r="L68">
        <v>5.7002499999999996E-3</v>
      </c>
      <c r="M68" t="s">
        <v>537</v>
      </c>
      <c r="N68" s="29" t="str">
        <f>LOWER(CONCATENATE("bittrex:",SUBSTITUTE(bittrex[[#This Row],[Column1.MarketName]],"-","")))</f>
        <v>bittrex:btcfct</v>
      </c>
      <c r="O68" s="26" t="str">
        <f>LOWER(CONCATENATE(SUBSTITUTE(bittrex[[#This Row],[Column1.MarketName]],"-","")))</f>
        <v>btcfct</v>
      </c>
      <c r="P68" s="35">
        <f>bittrex[[#This Row],[Column1.Last]]</f>
        <v>6.2810100000000001E-3</v>
      </c>
    </row>
    <row r="69" spans="1:16">
      <c r="A69" t="s">
        <v>538</v>
      </c>
      <c r="B69">
        <v>3.3400000000000002E-6</v>
      </c>
      <c r="C69">
        <v>3.1200000000000002E-6</v>
      </c>
      <c r="D69">
        <v>1867809.02696288</v>
      </c>
      <c r="E69">
        <v>3.2100000000000002E-6</v>
      </c>
      <c r="F69">
        <v>5.9849913499999996</v>
      </c>
      <c r="G69" t="s">
        <v>1319</v>
      </c>
      <c r="H69">
        <v>3.2100000000000002E-6</v>
      </c>
      <c r="I69">
        <v>3.2600000000000001E-6</v>
      </c>
      <c r="J69">
        <v>344</v>
      </c>
      <c r="K69">
        <v>3060</v>
      </c>
      <c r="L69">
        <v>3.27E-6</v>
      </c>
      <c r="M69" t="s">
        <v>539</v>
      </c>
      <c r="N69" s="29" t="str">
        <f>LOWER(CONCATENATE("bittrex:",SUBSTITUTE(bittrex[[#This Row],[Column1.MarketName]],"-","")))</f>
        <v>bittrex:btcfldc</v>
      </c>
      <c r="O69" s="26" t="str">
        <f>LOWER(CONCATENATE(SUBSTITUTE(bittrex[[#This Row],[Column1.MarketName]],"-","")))</f>
        <v>btcfldc</v>
      </c>
      <c r="P69" s="35">
        <f>bittrex[[#This Row],[Column1.Last]]</f>
        <v>3.2100000000000002E-6</v>
      </c>
    </row>
    <row r="70" spans="1:16">
      <c r="A70" t="s">
        <v>540</v>
      </c>
      <c r="B70">
        <v>1.9789999999999999E-5</v>
      </c>
      <c r="C70">
        <v>1.755E-5</v>
      </c>
      <c r="D70">
        <v>759567.83135559002</v>
      </c>
      <c r="E70">
        <v>1.8499999999999999E-5</v>
      </c>
      <c r="F70">
        <v>13.93173981</v>
      </c>
      <c r="G70" t="s">
        <v>1320</v>
      </c>
      <c r="H70">
        <v>1.8340000000000001E-5</v>
      </c>
      <c r="I70">
        <v>1.8499999999999999E-5</v>
      </c>
      <c r="J70">
        <v>306</v>
      </c>
      <c r="K70">
        <v>1695</v>
      </c>
      <c r="L70">
        <v>1.8E-5</v>
      </c>
      <c r="M70" t="s">
        <v>541</v>
      </c>
      <c r="N70" s="29" t="str">
        <f>LOWER(CONCATENATE("bittrex:",SUBSTITUTE(bittrex[[#This Row],[Column1.MarketName]],"-","")))</f>
        <v>bittrex:btcflo</v>
      </c>
      <c r="O70" s="26" t="str">
        <f>LOWER(CONCATENATE(SUBSTITUTE(bittrex[[#This Row],[Column1.MarketName]],"-","")))</f>
        <v>btcflo</v>
      </c>
      <c r="P70" s="35">
        <f>bittrex[[#This Row],[Column1.Last]]</f>
        <v>1.8499999999999999E-5</v>
      </c>
    </row>
    <row r="71" spans="1:16">
      <c r="A71" t="s">
        <v>542</v>
      </c>
      <c r="B71">
        <v>1.3509999999999999E-5</v>
      </c>
      <c r="C71">
        <v>1.3200000000000001E-5</v>
      </c>
      <c r="D71">
        <v>276589.43817601999</v>
      </c>
      <c r="E71">
        <v>1.327E-5</v>
      </c>
      <c r="F71">
        <v>3.6878986600000001</v>
      </c>
      <c r="G71" t="s">
        <v>1321</v>
      </c>
      <c r="H71">
        <v>1.327E-5</v>
      </c>
      <c r="I71">
        <v>1.342E-5</v>
      </c>
      <c r="J71">
        <v>587</v>
      </c>
      <c r="K71">
        <v>4857</v>
      </c>
      <c r="L71">
        <v>1.3169999999999999E-5</v>
      </c>
      <c r="M71" t="s">
        <v>501</v>
      </c>
      <c r="N71" s="29" t="str">
        <f>LOWER(CONCATENATE("bittrex:",SUBSTITUTE(bittrex[[#This Row],[Column1.MarketName]],"-","")))</f>
        <v>bittrex:btcftc</v>
      </c>
      <c r="O71" s="26" t="str">
        <f>LOWER(CONCATENATE(SUBSTITUTE(bittrex[[#This Row],[Column1.MarketName]],"-","")))</f>
        <v>btcftc</v>
      </c>
      <c r="P71" s="35">
        <f>bittrex[[#This Row],[Column1.Last]]</f>
        <v>1.327E-5</v>
      </c>
    </row>
    <row r="72" spans="1:16">
      <c r="A72" t="s">
        <v>543</v>
      </c>
      <c r="B72">
        <v>6.3099999999999997E-6</v>
      </c>
      <c r="C72">
        <v>5.4999999999999999E-6</v>
      </c>
      <c r="D72">
        <v>27611890.424046692</v>
      </c>
      <c r="E72">
        <v>6.1299999999999998E-6</v>
      </c>
      <c r="F72">
        <v>161.20800707000001</v>
      </c>
      <c r="G72" t="s">
        <v>1322</v>
      </c>
      <c r="H72">
        <v>6.0700000000000003E-6</v>
      </c>
      <c r="I72">
        <v>6.1299999999999998E-6</v>
      </c>
      <c r="J72">
        <v>383</v>
      </c>
      <c r="K72">
        <v>3186</v>
      </c>
      <c r="L72">
        <v>5.7599999999999999E-6</v>
      </c>
      <c r="M72" t="s">
        <v>544</v>
      </c>
      <c r="N72" s="29" t="str">
        <f>LOWER(CONCATENATE("bittrex:",SUBSTITUTE(bittrex[[#This Row],[Column1.MarketName]],"-","")))</f>
        <v>bittrex:btcfun</v>
      </c>
      <c r="O72" s="26" t="str">
        <f>LOWER(CONCATENATE(SUBSTITUTE(bittrex[[#This Row],[Column1.MarketName]],"-","")))</f>
        <v>btcfun</v>
      </c>
      <c r="P72" s="35">
        <f>bittrex[[#This Row],[Column1.Last]]</f>
        <v>6.1299999999999998E-6</v>
      </c>
    </row>
    <row r="73" spans="1:16">
      <c r="A73" t="s">
        <v>545</v>
      </c>
      <c r="B73">
        <v>2.2752900000000001E-3</v>
      </c>
      <c r="C73">
        <v>2.20207E-3</v>
      </c>
      <c r="D73">
        <v>1473.96360093</v>
      </c>
      <c r="E73">
        <v>2.2024900000000001E-3</v>
      </c>
      <c r="F73">
        <v>3.2781743099999998</v>
      </c>
      <c r="G73" t="s">
        <v>1323</v>
      </c>
      <c r="H73">
        <v>2.2150799999999999E-3</v>
      </c>
      <c r="I73">
        <v>2.2516099999999998E-3</v>
      </c>
      <c r="J73">
        <v>234</v>
      </c>
      <c r="K73">
        <v>481</v>
      </c>
      <c r="L73">
        <v>2.2834000000000001E-3</v>
      </c>
      <c r="M73" t="s">
        <v>546</v>
      </c>
      <c r="N73" s="29" t="str">
        <f>LOWER(CONCATENATE("bittrex:",SUBSTITUTE(bittrex[[#This Row],[Column1.MarketName]],"-","")))</f>
        <v>bittrex:btcgam</v>
      </c>
      <c r="O73" s="26" t="str">
        <f>LOWER(CONCATENATE(SUBSTITUTE(bittrex[[#This Row],[Column1.MarketName]],"-","")))</f>
        <v>btcgam</v>
      </c>
      <c r="P73" s="35">
        <f>bittrex[[#This Row],[Column1.Last]]</f>
        <v>2.2024900000000001E-3</v>
      </c>
    </row>
    <row r="74" spans="1:16">
      <c r="A74" t="s">
        <v>547</v>
      </c>
      <c r="B74">
        <v>5.2800000000000004E-4</v>
      </c>
      <c r="C74">
        <v>4.2530999999999998E-4</v>
      </c>
      <c r="D74">
        <v>454094.09850681003</v>
      </c>
      <c r="E74">
        <v>5.0401999999999999E-4</v>
      </c>
      <c r="F74">
        <v>209.25206628999999</v>
      </c>
      <c r="G74" t="s">
        <v>1324</v>
      </c>
      <c r="H74">
        <v>5.0401999999999999E-4</v>
      </c>
      <c r="I74">
        <v>5.0447000000000003E-4</v>
      </c>
      <c r="J74">
        <v>401</v>
      </c>
      <c r="K74">
        <v>4984</v>
      </c>
      <c r="L74">
        <v>4.4010000000000002E-4</v>
      </c>
      <c r="M74" t="s">
        <v>548</v>
      </c>
      <c r="N74" s="29" t="str">
        <f>LOWER(CONCATENATE("bittrex:",SUBSTITUTE(bittrex[[#This Row],[Column1.MarketName]],"-","")))</f>
        <v>bittrex:btcgame</v>
      </c>
      <c r="O74" s="26" t="str">
        <f>LOWER(CONCATENATE(SUBSTITUTE(bittrex[[#This Row],[Column1.MarketName]],"-","")))</f>
        <v>btcgame</v>
      </c>
      <c r="P74" s="35">
        <f>bittrex[[#This Row],[Column1.Last]]</f>
        <v>5.0401999999999999E-4</v>
      </c>
    </row>
    <row r="75" spans="1:16">
      <c r="A75" t="s">
        <v>549</v>
      </c>
      <c r="B75">
        <v>2.1469999999999999E-5</v>
      </c>
      <c r="C75">
        <v>2.02E-5</v>
      </c>
      <c r="D75">
        <v>170596.00478014001</v>
      </c>
      <c r="E75">
        <v>2.0849999999999999E-5</v>
      </c>
      <c r="F75">
        <v>3.6134060699999999</v>
      </c>
      <c r="G75" t="s">
        <v>1325</v>
      </c>
      <c r="H75">
        <v>2.0849999999999999E-5</v>
      </c>
      <c r="I75">
        <v>2.0999999999999999E-5</v>
      </c>
      <c r="J75">
        <v>97</v>
      </c>
      <c r="K75">
        <v>2394</v>
      </c>
      <c r="L75">
        <v>2.1160000000000001E-5</v>
      </c>
      <c r="M75" t="s">
        <v>550</v>
      </c>
      <c r="N75" s="29" t="str">
        <f>LOWER(CONCATENATE("bittrex:",SUBSTITUTE(bittrex[[#This Row],[Column1.MarketName]],"-","")))</f>
        <v>bittrex:btcgbg</v>
      </c>
      <c r="O75" s="26" t="str">
        <f>LOWER(CONCATENATE(SUBSTITUTE(bittrex[[#This Row],[Column1.MarketName]],"-","")))</f>
        <v>btcgbg</v>
      </c>
      <c r="P75" s="35">
        <f>bittrex[[#This Row],[Column1.Last]]</f>
        <v>2.0849999999999999E-5</v>
      </c>
    </row>
    <row r="76" spans="1:16">
      <c r="A76" t="s">
        <v>551</v>
      </c>
      <c r="B76">
        <v>7.4317999999999995E-2</v>
      </c>
      <c r="C76">
        <v>6.4000000000000001E-2</v>
      </c>
      <c r="D76">
        <v>3853.2347696000002</v>
      </c>
      <c r="E76">
        <v>7.3999990000000002E-2</v>
      </c>
      <c r="F76">
        <v>263.80067162</v>
      </c>
      <c r="G76" t="s">
        <v>1326</v>
      </c>
      <c r="H76">
        <v>7.3993069999999994E-2</v>
      </c>
      <c r="I76">
        <v>7.3999990000000002E-2</v>
      </c>
      <c r="J76">
        <v>495</v>
      </c>
      <c r="K76">
        <v>3517</v>
      </c>
      <c r="L76">
        <v>6.9898000000000002E-2</v>
      </c>
      <c r="M76" t="s">
        <v>552</v>
      </c>
      <c r="N76" s="29" t="str">
        <f>LOWER(CONCATENATE("bittrex:",SUBSTITUTE(bittrex[[#This Row],[Column1.MarketName]],"-","")))</f>
        <v>bittrex:btcgbyte</v>
      </c>
      <c r="O76" s="26" t="str">
        <f>LOWER(CONCATENATE(SUBSTITUTE(bittrex[[#This Row],[Column1.MarketName]],"-","")))</f>
        <v>btcgbyte</v>
      </c>
      <c r="P76" s="35">
        <f>bittrex[[#This Row],[Column1.Last]]</f>
        <v>7.3999990000000002E-2</v>
      </c>
    </row>
    <row r="77" spans="1:16">
      <c r="A77" t="s">
        <v>553</v>
      </c>
      <c r="B77">
        <v>1.1240000000000001E-5</v>
      </c>
      <c r="C77">
        <v>1.03E-5</v>
      </c>
      <c r="D77">
        <v>562025.10258054</v>
      </c>
      <c r="E77">
        <v>1.0550000000000001E-5</v>
      </c>
      <c r="F77">
        <v>6.0688994300000001</v>
      </c>
      <c r="G77" t="s">
        <v>1327</v>
      </c>
      <c r="H77">
        <v>1.0540000000000001E-5</v>
      </c>
      <c r="I77">
        <v>1.0550000000000001E-5</v>
      </c>
      <c r="J77">
        <v>177</v>
      </c>
      <c r="K77">
        <v>3244</v>
      </c>
      <c r="L77">
        <v>1.0900000000000001E-5</v>
      </c>
      <c r="M77" t="s">
        <v>554</v>
      </c>
      <c r="N77" s="29" t="str">
        <f>LOWER(CONCATENATE("bittrex:",SUBSTITUTE(bittrex[[#This Row],[Column1.MarketName]],"-","")))</f>
        <v>bittrex:btcgcr</v>
      </c>
      <c r="O77" s="26" t="str">
        <f>LOWER(CONCATENATE(SUBSTITUTE(bittrex[[#This Row],[Column1.MarketName]],"-","")))</f>
        <v>btcgcr</v>
      </c>
      <c r="P77" s="35">
        <f>bittrex[[#This Row],[Column1.Last]]</f>
        <v>1.0550000000000001E-5</v>
      </c>
    </row>
    <row r="78" spans="1:16">
      <c r="A78" t="s">
        <v>555</v>
      </c>
      <c r="B78">
        <v>3.2888999999999998E-4</v>
      </c>
      <c r="C78">
        <v>2.9001E-4</v>
      </c>
      <c r="D78">
        <v>40739.333694950001</v>
      </c>
      <c r="E78">
        <v>2.9001999999999999E-4</v>
      </c>
      <c r="F78">
        <v>12.3593359</v>
      </c>
      <c r="G78" t="s">
        <v>1328</v>
      </c>
      <c r="H78">
        <v>2.901E-4</v>
      </c>
      <c r="I78">
        <v>2.9747999999999998E-4</v>
      </c>
      <c r="J78">
        <v>343</v>
      </c>
      <c r="K78">
        <v>2177</v>
      </c>
      <c r="L78">
        <v>2.9080000000000002E-4</v>
      </c>
      <c r="M78" t="s">
        <v>556</v>
      </c>
      <c r="N78" s="29" t="str">
        <f>LOWER(CONCATENATE("bittrex:",SUBSTITUTE(bittrex[[#This Row],[Column1.MarketName]],"-","")))</f>
        <v>bittrex:btcgeo</v>
      </c>
      <c r="O78" s="26" t="str">
        <f>LOWER(CONCATENATE(SUBSTITUTE(bittrex[[#This Row],[Column1.MarketName]],"-","")))</f>
        <v>btcgeo</v>
      </c>
      <c r="P78" s="35">
        <f>bittrex[[#This Row],[Column1.Last]]</f>
        <v>2.9001999999999999E-4</v>
      </c>
    </row>
    <row r="79" spans="1:16">
      <c r="A79" t="s">
        <v>557</v>
      </c>
      <c r="B79">
        <v>2.512E-5</v>
      </c>
      <c r="C79">
        <v>2.2549999999999999E-5</v>
      </c>
      <c r="D79">
        <v>343348.70259833999</v>
      </c>
      <c r="E79">
        <v>2.3920000000000001E-5</v>
      </c>
      <c r="F79">
        <v>7.9966560800000002</v>
      </c>
      <c r="G79" t="s">
        <v>1329</v>
      </c>
      <c r="H79">
        <v>2.3370000000000002E-5</v>
      </c>
      <c r="I79">
        <v>2.3900000000000002E-5</v>
      </c>
      <c r="J79">
        <v>256</v>
      </c>
      <c r="K79">
        <v>1827</v>
      </c>
      <c r="L79">
        <v>2.2799999999999999E-5</v>
      </c>
      <c r="M79" t="s">
        <v>558</v>
      </c>
      <c r="N79" s="29" t="str">
        <f>LOWER(CONCATENATE("bittrex:",SUBSTITUTE(bittrex[[#This Row],[Column1.MarketName]],"-","")))</f>
        <v>bittrex:btcgld</v>
      </c>
      <c r="O79" s="26" t="str">
        <f>LOWER(CONCATENATE(SUBSTITUTE(bittrex[[#This Row],[Column1.MarketName]],"-","")))</f>
        <v>btcgld</v>
      </c>
      <c r="P79" s="35">
        <f>bittrex[[#This Row],[Column1.Last]]</f>
        <v>2.3920000000000001E-5</v>
      </c>
    </row>
    <row r="80" spans="1:16">
      <c r="A80" t="s">
        <v>559</v>
      </c>
      <c r="B80">
        <v>3.5250179999999999E-2</v>
      </c>
      <c r="C80">
        <v>3.245166E-2</v>
      </c>
      <c r="D80">
        <v>952.02628036999999</v>
      </c>
      <c r="E80">
        <v>3.5099999999999999E-2</v>
      </c>
      <c r="F80">
        <v>31.940065959999998</v>
      </c>
      <c r="G80" t="s">
        <v>1330</v>
      </c>
      <c r="H80">
        <v>3.4950000000000002E-2</v>
      </c>
      <c r="I80">
        <v>3.5099999999999999E-2</v>
      </c>
      <c r="J80">
        <v>206</v>
      </c>
      <c r="K80">
        <v>1536</v>
      </c>
      <c r="L80">
        <v>3.3445030000000001E-2</v>
      </c>
      <c r="M80" t="s">
        <v>560</v>
      </c>
      <c r="N80" s="29" t="str">
        <f>LOWER(CONCATENATE("bittrex:",SUBSTITUTE(bittrex[[#This Row],[Column1.MarketName]],"-","")))</f>
        <v>bittrex:btcgno</v>
      </c>
      <c r="O80" s="26" t="str">
        <f>LOWER(CONCATENATE(SUBSTITUTE(bittrex[[#This Row],[Column1.MarketName]],"-","")))</f>
        <v>btcgno</v>
      </c>
      <c r="P80" s="35">
        <f>bittrex[[#This Row],[Column1.Last]]</f>
        <v>3.5099999999999999E-2</v>
      </c>
    </row>
    <row r="81" spans="1:16">
      <c r="A81" t="s">
        <v>561</v>
      </c>
      <c r="B81">
        <v>1.1400000000000001E-4</v>
      </c>
      <c r="C81">
        <v>8.4179999999999997E-5</v>
      </c>
      <c r="D81">
        <v>55122316.929291509</v>
      </c>
      <c r="E81">
        <v>8.9499999999999994E-5</v>
      </c>
      <c r="F81">
        <v>5379.7217356199999</v>
      </c>
      <c r="G81" t="s">
        <v>1298</v>
      </c>
      <c r="H81">
        <v>8.9499999999999994E-5</v>
      </c>
      <c r="I81">
        <v>8.9790000000000006E-5</v>
      </c>
      <c r="J81">
        <v>1550</v>
      </c>
      <c r="K81">
        <v>8356</v>
      </c>
      <c r="L81">
        <v>1.0284E-4</v>
      </c>
      <c r="M81" t="s">
        <v>562</v>
      </c>
      <c r="N81" s="29" t="str">
        <f>LOWER(CONCATENATE("bittrex:",SUBSTITUTE(bittrex[[#This Row],[Column1.MarketName]],"-","")))</f>
        <v>bittrex:btcgnt</v>
      </c>
      <c r="O81" s="26" t="str">
        <f>LOWER(CONCATENATE(SUBSTITUTE(bittrex[[#This Row],[Column1.MarketName]],"-","")))</f>
        <v>btcgnt</v>
      </c>
      <c r="P81" s="35">
        <f>bittrex[[#This Row],[Column1.Last]]</f>
        <v>8.9499999999999994E-5</v>
      </c>
    </row>
    <row r="82" spans="1:16">
      <c r="A82" t="s">
        <v>563</v>
      </c>
      <c r="B82">
        <v>3.027E-5</v>
      </c>
      <c r="C82">
        <v>2.904E-5</v>
      </c>
      <c r="D82">
        <v>81215.801706049999</v>
      </c>
      <c r="E82">
        <v>2.9220000000000001E-5</v>
      </c>
      <c r="F82">
        <v>2.39341625</v>
      </c>
      <c r="G82" t="s">
        <v>1331</v>
      </c>
      <c r="H82">
        <v>2.917E-5</v>
      </c>
      <c r="I82">
        <v>2.9220000000000001E-5</v>
      </c>
      <c r="J82">
        <v>194</v>
      </c>
      <c r="K82">
        <v>1913</v>
      </c>
      <c r="L82">
        <v>2.9200000000000002E-5</v>
      </c>
      <c r="M82" t="s">
        <v>564</v>
      </c>
      <c r="N82" s="29" t="str">
        <f>LOWER(CONCATENATE("bittrex:",SUBSTITUTE(bittrex[[#This Row],[Column1.MarketName]],"-","")))</f>
        <v>bittrex:btcgolos</v>
      </c>
      <c r="O82" s="26" t="str">
        <f>LOWER(CONCATENATE(SUBSTITUTE(bittrex[[#This Row],[Column1.MarketName]],"-","")))</f>
        <v>btcgolos</v>
      </c>
      <c r="P82" s="35">
        <f>bittrex[[#This Row],[Column1.Last]]</f>
        <v>2.9220000000000001E-5</v>
      </c>
    </row>
    <row r="83" spans="1:16">
      <c r="A83" t="s">
        <v>565</v>
      </c>
      <c r="B83">
        <v>8.4700000000000002E-6</v>
      </c>
      <c r="C83">
        <v>7.8299999999999996E-6</v>
      </c>
      <c r="D83">
        <v>1000967.3088605</v>
      </c>
      <c r="E83">
        <v>8.0099999999999995E-6</v>
      </c>
      <c r="F83">
        <v>8.1792692200000001</v>
      </c>
      <c r="G83" t="s">
        <v>1332</v>
      </c>
      <c r="H83">
        <v>8.0099999999999995E-6</v>
      </c>
      <c r="I83">
        <v>8.0199999999999994E-6</v>
      </c>
      <c r="J83">
        <v>200</v>
      </c>
      <c r="K83">
        <v>3002</v>
      </c>
      <c r="L83">
        <v>8.3799999999999994E-6</v>
      </c>
      <c r="M83" t="s">
        <v>566</v>
      </c>
      <c r="N83" s="29" t="str">
        <f>LOWER(CONCATENATE("bittrex:",SUBSTITUTE(bittrex[[#This Row],[Column1.MarketName]],"-","")))</f>
        <v>bittrex:btcgrc</v>
      </c>
      <c r="O83" s="26" t="str">
        <f>LOWER(CONCATENATE(SUBSTITUTE(bittrex[[#This Row],[Column1.MarketName]],"-","")))</f>
        <v>btcgrc</v>
      </c>
      <c r="P83" s="35">
        <f>bittrex[[#This Row],[Column1.Last]]</f>
        <v>8.0099999999999995E-6</v>
      </c>
    </row>
    <row r="84" spans="1:16">
      <c r="A84" t="s">
        <v>567</v>
      </c>
      <c r="B84">
        <v>4.3999999999999999E-5</v>
      </c>
      <c r="C84">
        <v>2.4499999999999999E-5</v>
      </c>
      <c r="D84">
        <v>7864008.2597216303</v>
      </c>
      <c r="E84">
        <v>3.3970000000000002E-5</v>
      </c>
      <c r="F84">
        <v>278.14592820000001</v>
      </c>
      <c r="G84" t="s">
        <v>1333</v>
      </c>
      <c r="H84">
        <v>3.3550000000000002E-5</v>
      </c>
      <c r="I84">
        <v>3.4289999999999999E-5</v>
      </c>
      <c r="J84">
        <v>380</v>
      </c>
      <c r="K84">
        <v>1857</v>
      </c>
      <c r="L84">
        <v>2.4859999999999999E-5</v>
      </c>
      <c r="M84" t="s">
        <v>568</v>
      </c>
      <c r="N84" s="29" t="str">
        <f>LOWER(CONCATENATE("bittrex:",SUBSTITUTE(bittrex[[#This Row],[Column1.MarketName]],"-","")))</f>
        <v>bittrex:btcgrs</v>
      </c>
      <c r="O84" s="26" t="str">
        <f>LOWER(CONCATENATE(SUBSTITUTE(bittrex[[#This Row],[Column1.MarketName]],"-","")))</f>
        <v>btcgrs</v>
      </c>
      <c r="P84" s="35">
        <f>bittrex[[#This Row],[Column1.Last]]</f>
        <v>3.3970000000000002E-5</v>
      </c>
    </row>
    <row r="85" spans="1:16">
      <c r="A85" t="s">
        <v>569</v>
      </c>
      <c r="B85">
        <v>4.8000000000000001E-5</v>
      </c>
      <c r="C85">
        <v>4.2450000000000002E-5</v>
      </c>
      <c r="D85">
        <v>835051.42551622004</v>
      </c>
      <c r="E85">
        <v>4.6820000000000002E-5</v>
      </c>
      <c r="F85">
        <v>37.830015549999999</v>
      </c>
      <c r="G85" t="s">
        <v>1334</v>
      </c>
      <c r="H85">
        <v>4.6060000000000003E-5</v>
      </c>
      <c r="I85">
        <v>4.6699999999999997E-5</v>
      </c>
      <c r="J85">
        <v>333</v>
      </c>
      <c r="K85">
        <v>3065</v>
      </c>
      <c r="L85">
        <v>4.7009999999999999E-5</v>
      </c>
      <c r="M85" t="s">
        <v>570</v>
      </c>
      <c r="N85" s="29" t="str">
        <f>LOWER(CONCATENATE("bittrex:",SUBSTITUTE(bittrex[[#This Row],[Column1.MarketName]],"-","")))</f>
        <v>bittrex:btcgup</v>
      </c>
      <c r="O85" s="26" t="str">
        <f>LOWER(CONCATENATE(SUBSTITUTE(bittrex[[#This Row],[Column1.MarketName]],"-","")))</f>
        <v>btcgup</v>
      </c>
      <c r="P85" s="35">
        <f>bittrex[[#This Row],[Column1.Last]]</f>
        <v>4.6820000000000002E-5</v>
      </c>
    </row>
    <row r="86" spans="1:16">
      <c r="A86" t="s">
        <v>1335</v>
      </c>
      <c r="B86">
        <v>1.0159999999999999E-5</v>
      </c>
      <c r="C86">
        <v>8.1000000000000004E-6</v>
      </c>
      <c r="D86">
        <v>1761062.3467624399</v>
      </c>
      <c r="E86">
        <v>8.7499999999999992E-6</v>
      </c>
      <c r="F86">
        <v>15.89374608</v>
      </c>
      <c r="G86" t="s">
        <v>1336</v>
      </c>
      <c r="H86">
        <v>8.5499999999999995E-6</v>
      </c>
      <c r="I86">
        <v>8.7499999999999992E-6</v>
      </c>
      <c r="J86">
        <v>73</v>
      </c>
      <c r="K86">
        <v>1007</v>
      </c>
      <c r="L86">
        <v>9.2E-6</v>
      </c>
      <c r="M86" t="s">
        <v>1337</v>
      </c>
      <c r="N86" s="29" t="str">
        <f>LOWER(CONCATENATE("bittrex:",SUBSTITUTE(bittrex[[#This Row],[Column1.MarketName]],"-","")))</f>
        <v>bittrex:btchkg</v>
      </c>
      <c r="O86" s="26" t="str">
        <f>LOWER(CONCATENATE(SUBSTITUTE(bittrex[[#This Row],[Column1.MarketName]],"-","")))</f>
        <v>btchkg</v>
      </c>
      <c r="P86" s="35">
        <f>bittrex[[#This Row],[Column1.Last]]</f>
        <v>8.7499999999999992E-6</v>
      </c>
    </row>
    <row r="87" spans="1:16">
      <c r="A87" t="s">
        <v>571</v>
      </c>
      <c r="B87">
        <v>3.0450000000000002E-5</v>
      </c>
      <c r="C87">
        <v>2.6210000000000001E-5</v>
      </c>
      <c r="D87">
        <v>2757998.31569868</v>
      </c>
      <c r="E87">
        <v>2.9009999999999998E-5</v>
      </c>
      <c r="F87">
        <v>79.613653339999999</v>
      </c>
      <c r="G87" t="s">
        <v>1338</v>
      </c>
      <c r="H87">
        <v>2.902E-5</v>
      </c>
      <c r="I87">
        <v>2.9390000000000002E-5</v>
      </c>
      <c r="J87">
        <v>354</v>
      </c>
      <c r="K87">
        <v>3558</v>
      </c>
      <c r="L87">
        <v>2.6829999999999999E-5</v>
      </c>
      <c r="M87" t="s">
        <v>572</v>
      </c>
      <c r="N87" s="29" t="str">
        <f>LOWER(CONCATENATE("bittrex:",SUBSTITUTE(bittrex[[#This Row],[Column1.MarketName]],"-","")))</f>
        <v>bittrex:btchmq</v>
      </c>
      <c r="O87" s="26" t="str">
        <f>LOWER(CONCATENATE(SUBSTITUTE(bittrex[[#This Row],[Column1.MarketName]],"-","")))</f>
        <v>btchmq</v>
      </c>
      <c r="P87" s="35">
        <f>bittrex[[#This Row],[Column1.Last]]</f>
        <v>2.9009999999999998E-5</v>
      </c>
    </row>
    <row r="88" spans="1:16">
      <c r="A88" t="s">
        <v>573</v>
      </c>
      <c r="B88">
        <v>5.3709999999999999E-5</v>
      </c>
      <c r="C88">
        <v>4.0259999999999997E-5</v>
      </c>
      <c r="D88">
        <v>523289.34475235001</v>
      </c>
      <c r="E88">
        <v>4.1239999999999998E-5</v>
      </c>
      <c r="F88">
        <v>24.019259380000001</v>
      </c>
      <c r="G88" t="s">
        <v>1339</v>
      </c>
      <c r="H88">
        <v>4.125E-5</v>
      </c>
      <c r="I88">
        <v>4.1789999999999998E-5</v>
      </c>
      <c r="J88">
        <v>186</v>
      </c>
      <c r="K88">
        <v>2203</v>
      </c>
      <c r="L88">
        <v>4.1739999999999997E-5</v>
      </c>
      <c r="M88" t="s">
        <v>574</v>
      </c>
      <c r="N88" s="29" t="str">
        <f>LOWER(CONCATENATE("bittrex:",SUBSTITUTE(bittrex[[#This Row],[Column1.MarketName]],"-","")))</f>
        <v>bittrex:btcincnt</v>
      </c>
      <c r="O88" s="26" t="str">
        <f>LOWER(CONCATENATE(SUBSTITUTE(bittrex[[#This Row],[Column1.MarketName]],"-","")))</f>
        <v>btcincnt</v>
      </c>
      <c r="P88" s="35">
        <f>bittrex[[#This Row],[Column1.Last]]</f>
        <v>4.1239999999999998E-5</v>
      </c>
    </row>
    <row r="89" spans="1:16">
      <c r="A89" t="s">
        <v>575</v>
      </c>
      <c r="B89">
        <v>1.4522E-4</v>
      </c>
      <c r="C89">
        <v>1.1051E-4</v>
      </c>
      <c r="D89">
        <v>183066.45380747001</v>
      </c>
      <c r="E89">
        <v>1.1697E-4</v>
      </c>
      <c r="F89">
        <v>22.861821160000002</v>
      </c>
      <c r="G89" t="s">
        <v>1340</v>
      </c>
      <c r="H89">
        <v>1.1498E-4</v>
      </c>
      <c r="I89">
        <v>1.169E-4</v>
      </c>
      <c r="J89">
        <v>229</v>
      </c>
      <c r="K89">
        <v>1470</v>
      </c>
      <c r="L89">
        <v>1.1587E-4</v>
      </c>
      <c r="M89" t="s">
        <v>576</v>
      </c>
      <c r="N89" s="29" t="str">
        <f>LOWER(CONCATENATE("bittrex:",SUBSTITUTE(bittrex[[#This Row],[Column1.MarketName]],"-","")))</f>
        <v>bittrex:btcinfx</v>
      </c>
      <c r="O89" s="26" t="str">
        <f>LOWER(CONCATENATE(SUBSTITUTE(bittrex[[#This Row],[Column1.MarketName]],"-","")))</f>
        <v>btcinfx</v>
      </c>
      <c r="P89" s="35">
        <f>bittrex[[#This Row],[Column1.Last]]</f>
        <v>1.1697E-4</v>
      </c>
    </row>
    <row r="90" spans="1:16">
      <c r="A90" t="s">
        <v>577</v>
      </c>
      <c r="B90">
        <v>5.6044000000000005E-4</v>
      </c>
      <c r="C90">
        <v>5.1000000000000004E-4</v>
      </c>
      <c r="D90">
        <v>32354.69766668</v>
      </c>
      <c r="E90">
        <v>5.4299999999999997E-4</v>
      </c>
      <c r="F90">
        <v>17.34199426</v>
      </c>
      <c r="G90" t="s">
        <v>1341</v>
      </c>
      <c r="H90">
        <v>5.4321999999999997E-4</v>
      </c>
      <c r="I90">
        <v>5.4434000000000004E-4</v>
      </c>
      <c r="J90">
        <v>569</v>
      </c>
      <c r="K90">
        <v>1534</v>
      </c>
      <c r="L90">
        <v>5.2780000000000004E-4</v>
      </c>
      <c r="M90" t="s">
        <v>578</v>
      </c>
      <c r="N90" s="29" t="str">
        <f>LOWER(CONCATENATE("bittrex:",SUBSTITUTE(bittrex[[#This Row],[Column1.MarketName]],"-","")))</f>
        <v>bittrex:btcioc</v>
      </c>
      <c r="O90" s="26" t="str">
        <f>LOWER(CONCATENATE(SUBSTITUTE(bittrex[[#This Row],[Column1.MarketName]],"-","")))</f>
        <v>btcioc</v>
      </c>
      <c r="P90" s="35">
        <f>bittrex[[#This Row],[Column1.Last]]</f>
        <v>5.4299999999999997E-4</v>
      </c>
    </row>
    <row r="91" spans="1:16">
      <c r="A91" t="s">
        <v>579</v>
      </c>
      <c r="B91">
        <v>3.2689999999999998E-4</v>
      </c>
      <c r="C91">
        <v>2.8901000000000003E-4</v>
      </c>
      <c r="D91">
        <v>36776.265878689999</v>
      </c>
      <c r="E91">
        <v>2.9860999999999999E-4</v>
      </c>
      <c r="F91">
        <v>11.386354750000001</v>
      </c>
      <c r="G91" t="s">
        <v>1342</v>
      </c>
      <c r="H91">
        <v>2.9867000000000001E-4</v>
      </c>
      <c r="I91">
        <v>3.0536000000000002E-4</v>
      </c>
      <c r="J91">
        <v>221</v>
      </c>
      <c r="K91">
        <v>1772</v>
      </c>
      <c r="L91">
        <v>3.1830999999999998E-4</v>
      </c>
      <c r="M91" t="s">
        <v>580</v>
      </c>
      <c r="N91" s="29" t="str">
        <f>LOWER(CONCATENATE("bittrex:",SUBSTITUTE(bittrex[[#This Row],[Column1.MarketName]],"-","")))</f>
        <v>bittrex:btcion</v>
      </c>
      <c r="O91" s="26" t="str">
        <f>LOWER(CONCATENATE(SUBSTITUTE(bittrex[[#This Row],[Column1.MarketName]],"-","")))</f>
        <v>btcion</v>
      </c>
      <c r="P91" s="35">
        <f>bittrex[[#This Row],[Column1.Last]]</f>
        <v>2.9860999999999999E-4</v>
      </c>
    </row>
    <row r="92" spans="1:16">
      <c r="A92" t="s">
        <v>581</v>
      </c>
      <c r="B92">
        <v>1.8548999999999999E-4</v>
      </c>
      <c r="C92">
        <v>1.5521E-4</v>
      </c>
      <c r="D92">
        <v>68185.276865439999</v>
      </c>
      <c r="E92">
        <v>1.7749000000000001E-4</v>
      </c>
      <c r="F92">
        <v>11.71622294</v>
      </c>
      <c r="G92" t="s">
        <v>1343</v>
      </c>
      <c r="H92">
        <v>1.7754000000000001E-4</v>
      </c>
      <c r="I92">
        <v>1.8058000000000001E-4</v>
      </c>
      <c r="J92">
        <v>184</v>
      </c>
      <c r="K92">
        <v>2283</v>
      </c>
      <c r="L92">
        <v>1.5584999999999999E-4</v>
      </c>
      <c r="M92" t="s">
        <v>582</v>
      </c>
      <c r="N92" s="29" t="str">
        <f>LOWER(CONCATENATE("bittrex:",SUBSTITUTE(bittrex[[#This Row],[Column1.MarketName]],"-","")))</f>
        <v>bittrex:btciop</v>
      </c>
      <c r="O92" s="26" t="str">
        <f>LOWER(CONCATENATE(SUBSTITUTE(bittrex[[#This Row],[Column1.MarketName]],"-","")))</f>
        <v>btciop</v>
      </c>
      <c r="P92" s="35">
        <f>bittrex[[#This Row],[Column1.Last]]</f>
        <v>1.7749000000000001E-4</v>
      </c>
    </row>
    <row r="93" spans="1:16">
      <c r="A93" t="s">
        <v>583</v>
      </c>
      <c r="B93">
        <v>8.0002000000000003E-4</v>
      </c>
      <c r="C93">
        <v>6.2153000000000002E-4</v>
      </c>
      <c r="D93">
        <v>5526855.4893377395</v>
      </c>
      <c r="E93">
        <v>7.9679000000000002E-4</v>
      </c>
      <c r="F93">
        <v>4020.3038801799999</v>
      </c>
      <c r="G93" t="s">
        <v>1282</v>
      </c>
      <c r="H93">
        <v>7.9589999999999999E-4</v>
      </c>
      <c r="I93">
        <v>7.9699999999999997E-4</v>
      </c>
      <c r="J93">
        <v>1567</v>
      </c>
      <c r="K93">
        <v>3438</v>
      </c>
      <c r="L93">
        <v>6.9943999999999996E-4</v>
      </c>
      <c r="M93" t="s">
        <v>584</v>
      </c>
      <c r="N93" s="29" t="str">
        <f>LOWER(CONCATENATE("bittrex:",SUBSTITUTE(bittrex[[#This Row],[Column1.MarketName]],"-","")))</f>
        <v>bittrex:btckmd</v>
      </c>
      <c r="O93" s="26" t="str">
        <f>LOWER(CONCATENATE(SUBSTITUTE(bittrex[[#This Row],[Column1.MarketName]],"-","")))</f>
        <v>btckmd</v>
      </c>
      <c r="P93" s="35">
        <f>bittrex[[#This Row],[Column1.Last]]</f>
        <v>7.9679000000000002E-4</v>
      </c>
    </row>
    <row r="94" spans="1:16">
      <c r="A94" t="s">
        <v>585</v>
      </c>
      <c r="B94">
        <v>6.9744000000000002E-4</v>
      </c>
      <c r="C94">
        <v>6.0999999999999997E-4</v>
      </c>
      <c r="D94">
        <v>43086.355844270001</v>
      </c>
      <c r="E94">
        <v>6.7000000000000002E-4</v>
      </c>
      <c r="F94">
        <v>28.073780800000002</v>
      </c>
      <c r="G94" t="s">
        <v>1344</v>
      </c>
      <c r="H94">
        <v>6.7000000000000002E-4</v>
      </c>
      <c r="I94">
        <v>6.7319999999999999E-4</v>
      </c>
      <c r="J94">
        <v>379</v>
      </c>
      <c r="K94">
        <v>1189</v>
      </c>
      <c r="L94">
        <v>6.7498999999999999E-4</v>
      </c>
      <c r="M94" t="s">
        <v>586</v>
      </c>
      <c r="N94" s="29" t="str">
        <f>LOWER(CONCATENATE("bittrex:",SUBSTITUTE(bittrex[[#This Row],[Column1.MarketName]],"-","")))</f>
        <v>bittrex:btckore</v>
      </c>
      <c r="O94" s="26" t="str">
        <f>LOWER(CONCATENATE(SUBSTITUTE(bittrex[[#This Row],[Column1.MarketName]],"-","")))</f>
        <v>btckore</v>
      </c>
      <c r="P94" s="35">
        <f>bittrex[[#This Row],[Column1.Last]]</f>
        <v>6.7000000000000002E-4</v>
      </c>
    </row>
    <row r="95" spans="1:16">
      <c r="A95" t="s">
        <v>587</v>
      </c>
      <c r="B95">
        <v>7.7780000000000004E-5</v>
      </c>
      <c r="C95">
        <v>7.1340000000000005E-5</v>
      </c>
      <c r="D95">
        <v>1739179.1729816999</v>
      </c>
      <c r="E95">
        <v>7.5549999999999993E-5</v>
      </c>
      <c r="F95">
        <v>128.87131909999999</v>
      </c>
      <c r="G95" t="s">
        <v>1345</v>
      </c>
      <c r="H95">
        <v>7.5549999999999993E-5</v>
      </c>
      <c r="I95">
        <v>7.593E-5</v>
      </c>
      <c r="J95">
        <v>531</v>
      </c>
      <c r="K95">
        <v>7643</v>
      </c>
      <c r="L95">
        <v>7.4900000000000005E-5</v>
      </c>
      <c r="M95" t="s">
        <v>588</v>
      </c>
      <c r="N95" s="29" t="str">
        <f>LOWER(CONCATENATE("bittrex:",SUBSTITUTE(bittrex[[#This Row],[Column1.MarketName]],"-","")))</f>
        <v>bittrex:btclbc</v>
      </c>
      <c r="O95" s="26" t="str">
        <f>LOWER(CONCATENATE(SUBSTITUTE(bittrex[[#This Row],[Column1.MarketName]],"-","")))</f>
        <v>btclbc</v>
      </c>
      <c r="P95" s="35">
        <f>bittrex[[#This Row],[Column1.Last]]</f>
        <v>7.5549999999999993E-5</v>
      </c>
    </row>
    <row r="96" spans="1:16">
      <c r="A96" t="s">
        <v>589</v>
      </c>
      <c r="B96">
        <v>3.4499999999999998E-4</v>
      </c>
      <c r="C96">
        <v>3.1990000000000002E-4</v>
      </c>
      <c r="D96">
        <v>192543.34708507999</v>
      </c>
      <c r="E96">
        <v>3.2535000000000002E-4</v>
      </c>
      <c r="F96">
        <v>63.67785387</v>
      </c>
      <c r="G96" t="s">
        <v>1346</v>
      </c>
      <c r="H96">
        <v>3.28E-4</v>
      </c>
      <c r="I96">
        <v>3.2963000000000003E-4</v>
      </c>
      <c r="J96">
        <v>468</v>
      </c>
      <c r="K96">
        <v>5820</v>
      </c>
      <c r="L96">
        <v>3.4434E-4</v>
      </c>
      <c r="M96" t="s">
        <v>590</v>
      </c>
      <c r="N96" s="29" t="str">
        <f>LOWER(CONCATENATE("bittrex:",SUBSTITUTE(bittrex[[#This Row],[Column1.MarketName]],"-","")))</f>
        <v>bittrex:btclgd</v>
      </c>
      <c r="O96" s="26" t="str">
        <f>LOWER(CONCATENATE(SUBSTITUTE(bittrex[[#This Row],[Column1.MarketName]],"-","")))</f>
        <v>btclgd</v>
      </c>
      <c r="P96" s="35">
        <f>bittrex[[#This Row],[Column1.Last]]</f>
        <v>3.2535000000000002E-4</v>
      </c>
    </row>
    <row r="97" spans="1:16">
      <c r="A97" t="s">
        <v>591</v>
      </c>
      <c r="B97">
        <v>8.2400000000000007E-6</v>
      </c>
      <c r="C97">
        <v>7.3499999999999999E-6</v>
      </c>
      <c r="D97">
        <v>2635194.73149898</v>
      </c>
      <c r="E97">
        <v>7.4800000000000004E-6</v>
      </c>
      <c r="F97">
        <v>20.306244270000001</v>
      </c>
      <c r="G97" t="s">
        <v>1347</v>
      </c>
      <c r="H97">
        <v>7.4499999999999998E-6</v>
      </c>
      <c r="I97">
        <v>7.4800000000000004E-6</v>
      </c>
      <c r="J97">
        <v>212</v>
      </c>
      <c r="K97">
        <v>3842</v>
      </c>
      <c r="L97">
        <v>7.96E-6</v>
      </c>
      <c r="M97" t="s">
        <v>592</v>
      </c>
      <c r="N97" s="29" t="str">
        <f>LOWER(CONCATENATE("bittrex:",SUBSTITUTE(bittrex[[#This Row],[Column1.MarketName]],"-","")))</f>
        <v>bittrex:btclmc</v>
      </c>
      <c r="O97" s="26" t="str">
        <f>LOWER(CONCATENATE(SUBSTITUTE(bittrex[[#This Row],[Column1.MarketName]],"-","")))</f>
        <v>btclmc</v>
      </c>
      <c r="P97" s="35">
        <f>bittrex[[#This Row],[Column1.Last]]</f>
        <v>7.4800000000000004E-6</v>
      </c>
    </row>
    <row r="98" spans="1:16">
      <c r="A98" t="s">
        <v>593</v>
      </c>
      <c r="B98">
        <v>1.6499900000000001E-3</v>
      </c>
      <c r="C98">
        <v>1.5221099999999999E-3</v>
      </c>
      <c r="D98">
        <v>1112015.91512531</v>
      </c>
      <c r="E98">
        <v>1.60509E-3</v>
      </c>
      <c r="F98">
        <v>1771.50882026</v>
      </c>
      <c r="G98" t="s">
        <v>1348</v>
      </c>
      <c r="H98">
        <v>1.6031000000000001E-3</v>
      </c>
      <c r="I98">
        <v>1.60509E-3</v>
      </c>
      <c r="J98">
        <v>2224</v>
      </c>
      <c r="K98">
        <v>3661</v>
      </c>
      <c r="L98">
        <v>1.53911E-3</v>
      </c>
      <c r="M98" t="s">
        <v>594</v>
      </c>
      <c r="N98" s="29" t="str">
        <f>LOWER(CONCATENATE("bittrex:",SUBSTITUTE(bittrex[[#This Row],[Column1.MarketName]],"-","")))</f>
        <v>bittrex:btclsk</v>
      </c>
      <c r="O98" s="26" t="str">
        <f>LOWER(CONCATENATE(SUBSTITUTE(bittrex[[#This Row],[Column1.MarketName]],"-","")))</f>
        <v>btclsk</v>
      </c>
      <c r="P98" s="35">
        <f>bittrex[[#This Row],[Column1.Last]]</f>
        <v>1.60509E-3</v>
      </c>
    </row>
    <row r="99" spans="1:16">
      <c r="A99" t="s">
        <v>595</v>
      </c>
      <c r="B99">
        <v>1.7770000000000001E-2</v>
      </c>
      <c r="C99">
        <v>1.703905E-2</v>
      </c>
      <c r="D99">
        <v>134485.90042732999</v>
      </c>
      <c r="E99">
        <v>1.7405400000000001E-2</v>
      </c>
      <c r="F99">
        <v>2340.4275714300002</v>
      </c>
      <c r="G99" t="s">
        <v>1349</v>
      </c>
      <c r="H99">
        <v>1.740001E-2</v>
      </c>
      <c r="I99">
        <v>1.745967E-2</v>
      </c>
      <c r="J99">
        <v>2486</v>
      </c>
      <c r="K99">
        <v>5534</v>
      </c>
      <c r="L99">
        <v>1.7360299999999999E-2</v>
      </c>
      <c r="M99" t="s">
        <v>501</v>
      </c>
      <c r="N99" s="29" t="str">
        <f>LOWER(CONCATENATE("bittrex:",SUBSTITUTE(bittrex[[#This Row],[Column1.MarketName]],"-","")))</f>
        <v>bittrex:btcltc</v>
      </c>
      <c r="O99" s="26" t="str">
        <f>LOWER(CONCATENATE(SUBSTITUTE(bittrex[[#This Row],[Column1.MarketName]],"-","")))</f>
        <v>btcltc</v>
      </c>
      <c r="P99" s="35">
        <f>bittrex[[#This Row],[Column1.Last]]</f>
        <v>1.7405400000000001E-2</v>
      </c>
    </row>
    <row r="100" spans="1:16">
      <c r="A100" t="s">
        <v>596</v>
      </c>
      <c r="B100">
        <v>2E-3</v>
      </c>
      <c r="C100">
        <v>1.7514399999999999E-3</v>
      </c>
      <c r="D100">
        <v>30958.46299901</v>
      </c>
      <c r="E100">
        <v>1.8799999999999999E-3</v>
      </c>
      <c r="F100">
        <v>57.791727309999999</v>
      </c>
      <c r="G100" t="s">
        <v>1350</v>
      </c>
      <c r="H100">
        <v>1.8799999999999999E-3</v>
      </c>
      <c r="I100">
        <v>1.885E-3</v>
      </c>
      <c r="J100">
        <v>330</v>
      </c>
      <c r="K100">
        <v>2062</v>
      </c>
      <c r="L100">
        <v>1.8410200000000001E-3</v>
      </c>
      <c r="M100" t="s">
        <v>597</v>
      </c>
      <c r="N100" s="29" t="str">
        <f>LOWER(CONCATENATE("bittrex:",SUBSTITUTE(bittrex[[#This Row],[Column1.MarketName]],"-","")))</f>
        <v>bittrex:btclun</v>
      </c>
      <c r="O100" s="26" t="str">
        <f>LOWER(CONCATENATE(SUBSTITUTE(bittrex[[#This Row],[Column1.MarketName]],"-","")))</f>
        <v>btclun</v>
      </c>
      <c r="P100" s="35">
        <f>bittrex[[#This Row],[Column1.Last]]</f>
        <v>1.8799999999999999E-3</v>
      </c>
    </row>
    <row r="101" spans="1:16">
      <c r="A101" t="s">
        <v>598</v>
      </c>
      <c r="B101">
        <v>1.5100000000000001E-4</v>
      </c>
      <c r="C101">
        <v>1.4283000000000001E-4</v>
      </c>
      <c r="D101">
        <v>659618.26673764002</v>
      </c>
      <c r="E101">
        <v>1.5097E-4</v>
      </c>
      <c r="F101">
        <v>97.209502979999996</v>
      </c>
      <c r="G101" t="s">
        <v>1351</v>
      </c>
      <c r="H101">
        <v>1.5097E-4</v>
      </c>
      <c r="I101">
        <v>1.5100000000000001E-4</v>
      </c>
      <c r="J101">
        <v>435</v>
      </c>
      <c r="K101">
        <v>2583</v>
      </c>
      <c r="L101">
        <v>1.4705E-4</v>
      </c>
      <c r="M101" t="s">
        <v>599</v>
      </c>
      <c r="N101" s="29" t="str">
        <f>LOWER(CONCATENATE("bittrex:",SUBSTITUTE(bittrex[[#This Row],[Column1.MarketName]],"-","")))</f>
        <v>bittrex:btcmaid</v>
      </c>
      <c r="O101" s="26" t="str">
        <f>LOWER(CONCATENATE(SUBSTITUTE(bittrex[[#This Row],[Column1.MarketName]],"-","")))</f>
        <v>btcmaid</v>
      </c>
      <c r="P101" s="35">
        <f>bittrex[[#This Row],[Column1.Last]]</f>
        <v>1.5097E-4</v>
      </c>
    </row>
    <row r="102" spans="1:16">
      <c r="A102" t="s">
        <v>600</v>
      </c>
      <c r="B102">
        <v>2.6213999999999999E-3</v>
      </c>
      <c r="C102">
        <v>2.00001E-3</v>
      </c>
      <c r="D102">
        <v>920769.21993823</v>
      </c>
      <c r="E102">
        <v>2.3555999999999998E-3</v>
      </c>
      <c r="F102">
        <v>2062.3524045700001</v>
      </c>
      <c r="G102" t="s">
        <v>1296</v>
      </c>
      <c r="H102">
        <v>2.3551000000000002E-3</v>
      </c>
      <c r="I102">
        <v>2.3555999999999998E-3</v>
      </c>
      <c r="J102">
        <v>1489</v>
      </c>
      <c r="K102">
        <v>10530</v>
      </c>
      <c r="L102">
        <v>2.0539999999999998E-3</v>
      </c>
      <c r="M102" t="s">
        <v>601</v>
      </c>
      <c r="N102" s="29" t="str">
        <f>LOWER(CONCATENATE("bittrex:",SUBSTITUTE(bittrex[[#This Row],[Column1.MarketName]],"-","")))</f>
        <v>bittrex:btcmco</v>
      </c>
      <c r="O102" s="26" t="str">
        <f>LOWER(CONCATENATE(SUBSTITUTE(bittrex[[#This Row],[Column1.MarketName]],"-","")))</f>
        <v>btcmco</v>
      </c>
      <c r="P102" s="35">
        <f>bittrex[[#This Row],[Column1.Last]]</f>
        <v>2.3555999999999998E-3</v>
      </c>
    </row>
    <row r="103" spans="1:16">
      <c r="A103" t="s">
        <v>602</v>
      </c>
      <c r="B103">
        <v>3.7499999999999997E-5</v>
      </c>
      <c r="C103">
        <v>3.1999999999999999E-5</v>
      </c>
      <c r="D103">
        <v>445782.16205041</v>
      </c>
      <c r="E103">
        <v>3.3059999999999999E-5</v>
      </c>
      <c r="F103">
        <v>15.55356037</v>
      </c>
      <c r="G103" t="s">
        <v>1352</v>
      </c>
      <c r="H103">
        <v>3.3059999999999999E-5</v>
      </c>
      <c r="I103">
        <v>3.3930000000000002E-5</v>
      </c>
      <c r="J103">
        <v>261</v>
      </c>
      <c r="K103">
        <v>1439</v>
      </c>
      <c r="L103">
        <v>3.341E-5</v>
      </c>
      <c r="M103" t="s">
        <v>603</v>
      </c>
      <c r="N103" s="29" t="str">
        <f>LOWER(CONCATENATE("bittrex:",SUBSTITUTE(bittrex[[#This Row],[Column1.MarketName]],"-","")))</f>
        <v>bittrex:btcmeme</v>
      </c>
      <c r="O103" s="26" t="str">
        <f>LOWER(CONCATENATE(SUBSTITUTE(bittrex[[#This Row],[Column1.MarketName]],"-","")))</f>
        <v>btcmeme</v>
      </c>
      <c r="P103" s="35">
        <f>bittrex[[#This Row],[Column1.Last]]</f>
        <v>3.3059999999999999E-5</v>
      </c>
    </row>
    <row r="104" spans="1:16">
      <c r="A104" t="s">
        <v>604</v>
      </c>
      <c r="B104">
        <v>1.6969999999999999E-2</v>
      </c>
      <c r="C104">
        <v>1.609913E-2</v>
      </c>
      <c r="D104">
        <v>641.73844924000002</v>
      </c>
      <c r="E104">
        <v>1.637139E-2</v>
      </c>
      <c r="F104">
        <v>10.41906775</v>
      </c>
      <c r="G104" t="s">
        <v>1353</v>
      </c>
      <c r="H104">
        <v>1.637139E-2</v>
      </c>
      <c r="I104">
        <v>1.6371730000000001E-2</v>
      </c>
      <c r="J104">
        <v>146</v>
      </c>
      <c r="K104">
        <v>998</v>
      </c>
      <c r="L104">
        <v>1.6788999999999998E-2</v>
      </c>
      <c r="M104" t="s">
        <v>605</v>
      </c>
      <c r="N104" s="29" t="str">
        <f>LOWER(CONCATENATE("bittrex:",SUBSTITUTE(bittrex[[#This Row],[Column1.MarketName]],"-","")))</f>
        <v>bittrex:btcmln</v>
      </c>
      <c r="O104" s="26" t="str">
        <f>LOWER(CONCATENATE(SUBSTITUTE(bittrex[[#This Row],[Column1.MarketName]],"-","")))</f>
        <v>btcmln</v>
      </c>
      <c r="P104" s="35">
        <f>bittrex[[#This Row],[Column1.Last]]</f>
        <v>1.637139E-2</v>
      </c>
    </row>
    <row r="105" spans="1:16">
      <c r="A105" t="s">
        <v>606</v>
      </c>
      <c r="B105">
        <v>1.3705999999999999E-4</v>
      </c>
      <c r="C105">
        <v>1.1400000000000001E-4</v>
      </c>
      <c r="D105">
        <v>638649.23912816006</v>
      </c>
      <c r="E105">
        <v>1.1926000000000001E-4</v>
      </c>
      <c r="F105">
        <v>78.358002279999994</v>
      </c>
      <c r="G105" t="s">
        <v>1354</v>
      </c>
      <c r="H105">
        <v>1.1930999999999999E-4</v>
      </c>
      <c r="I105">
        <v>1.1959999999999999E-4</v>
      </c>
      <c r="J105">
        <v>241</v>
      </c>
      <c r="K105">
        <v>1789</v>
      </c>
      <c r="L105">
        <v>1.2265999999999999E-4</v>
      </c>
      <c r="M105" t="s">
        <v>607</v>
      </c>
      <c r="N105" s="29" t="str">
        <f>LOWER(CONCATENATE("bittrex:",SUBSTITUTE(bittrex[[#This Row],[Column1.MarketName]],"-","")))</f>
        <v>bittrex:btcmona</v>
      </c>
      <c r="O105" s="26" t="str">
        <f>LOWER(CONCATENATE(SUBSTITUTE(bittrex[[#This Row],[Column1.MarketName]],"-","")))</f>
        <v>btcmona</v>
      </c>
      <c r="P105" s="35">
        <f>bittrex[[#This Row],[Column1.Last]]</f>
        <v>1.1926000000000001E-4</v>
      </c>
    </row>
    <row r="106" spans="1:16">
      <c r="A106" t="s">
        <v>608</v>
      </c>
      <c r="B106">
        <v>3.2200000000000002E-3</v>
      </c>
      <c r="C106">
        <v>2.4500500000000001E-3</v>
      </c>
      <c r="D106">
        <v>963341.98295685998</v>
      </c>
      <c r="E106">
        <v>2.9601900000000001E-3</v>
      </c>
      <c r="F106">
        <v>2736.1895466800001</v>
      </c>
      <c r="G106" t="s">
        <v>1355</v>
      </c>
      <c r="H106">
        <v>2.96043E-3</v>
      </c>
      <c r="I106">
        <v>2.97073E-3</v>
      </c>
      <c r="J106">
        <v>1169</v>
      </c>
      <c r="K106">
        <v>1273</v>
      </c>
      <c r="L106">
        <v>2.5466400000000002E-3</v>
      </c>
      <c r="M106" t="s">
        <v>609</v>
      </c>
      <c r="N106" s="29" t="str">
        <f>LOWER(CONCATENATE("bittrex:",SUBSTITUTE(bittrex[[#This Row],[Column1.MarketName]],"-","")))</f>
        <v>bittrex:btcmtl</v>
      </c>
      <c r="O106" s="26" t="str">
        <f>LOWER(CONCATENATE(SUBSTITUTE(bittrex[[#This Row],[Column1.MarketName]],"-","")))</f>
        <v>btcmtl</v>
      </c>
      <c r="P106" s="35">
        <f>bittrex[[#This Row],[Column1.Last]]</f>
        <v>2.9601900000000001E-3</v>
      </c>
    </row>
    <row r="107" spans="1:16">
      <c r="A107" t="s">
        <v>610</v>
      </c>
      <c r="B107">
        <v>3.5750000000000002E-5</v>
      </c>
      <c r="C107">
        <v>3.1569999999999998E-5</v>
      </c>
      <c r="D107">
        <v>821099.17934758996</v>
      </c>
      <c r="E107">
        <v>3.2159999999999997E-5</v>
      </c>
      <c r="F107">
        <v>27.59544713</v>
      </c>
      <c r="G107" t="s">
        <v>1356</v>
      </c>
      <c r="H107">
        <v>3.1860000000000003E-5</v>
      </c>
      <c r="I107">
        <v>3.2169999999999999E-5</v>
      </c>
      <c r="J107">
        <v>378</v>
      </c>
      <c r="K107">
        <v>2383</v>
      </c>
      <c r="L107">
        <v>3.4100000000000002E-5</v>
      </c>
      <c r="M107" t="s">
        <v>611</v>
      </c>
      <c r="N107" s="29" t="str">
        <f>LOWER(CONCATENATE("bittrex:",SUBSTITUTE(bittrex[[#This Row],[Column1.MarketName]],"-","")))</f>
        <v>bittrex:btcmue</v>
      </c>
      <c r="O107" s="26" t="str">
        <f>LOWER(CONCATENATE(SUBSTITUTE(bittrex[[#This Row],[Column1.MarketName]],"-","")))</f>
        <v>btcmue</v>
      </c>
      <c r="P107" s="35">
        <f>bittrex[[#This Row],[Column1.Last]]</f>
        <v>3.2159999999999997E-5</v>
      </c>
    </row>
    <row r="108" spans="1:16">
      <c r="A108" t="s">
        <v>612</v>
      </c>
      <c r="B108">
        <v>6.7100000000000001E-6</v>
      </c>
      <c r="C108">
        <v>5.9000000000000003E-6</v>
      </c>
      <c r="D108">
        <v>10313256.54274413</v>
      </c>
      <c r="E108">
        <v>6.0700000000000003E-6</v>
      </c>
      <c r="F108">
        <v>64.587055649999996</v>
      </c>
      <c r="G108" t="s">
        <v>1357</v>
      </c>
      <c r="H108">
        <v>6.0700000000000003E-6</v>
      </c>
      <c r="I108">
        <v>6.0800000000000002E-6</v>
      </c>
      <c r="J108">
        <v>470</v>
      </c>
      <c r="K108">
        <v>6085</v>
      </c>
      <c r="L108">
        <v>6.63E-6</v>
      </c>
      <c r="M108" t="s">
        <v>613</v>
      </c>
      <c r="N108" s="29" t="str">
        <f>LOWER(CONCATENATE("bittrex:",SUBSTITUTE(bittrex[[#This Row],[Column1.MarketName]],"-","")))</f>
        <v>bittrex:btcmusic</v>
      </c>
      <c r="O108" s="26" t="str">
        <f>LOWER(CONCATENATE(SUBSTITUTE(bittrex[[#This Row],[Column1.MarketName]],"-","")))</f>
        <v>btcmusic</v>
      </c>
      <c r="P108" s="35">
        <f>bittrex[[#This Row],[Column1.Last]]</f>
        <v>6.0700000000000003E-6</v>
      </c>
    </row>
    <row r="109" spans="1:16">
      <c r="A109" t="s">
        <v>614</v>
      </c>
      <c r="B109">
        <v>2.9166000000000001E-4</v>
      </c>
      <c r="C109">
        <v>2.4800000000000001E-4</v>
      </c>
      <c r="D109">
        <v>264202.54565951001</v>
      </c>
      <c r="E109">
        <v>2.6676E-4</v>
      </c>
      <c r="F109">
        <v>71.805851009999998</v>
      </c>
      <c r="G109" t="s">
        <v>1358</v>
      </c>
      <c r="H109">
        <v>2.6322999999999999E-4</v>
      </c>
      <c r="I109">
        <v>2.6701999999999997E-4</v>
      </c>
      <c r="J109">
        <v>452</v>
      </c>
      <c r="K109">
        <v>2438</v>
      </c>
      <c r="L109">
        <v>2.9E-4</v>
      </c>
      <c r="M109" t="s">
        <v>615</v>
      </c>
      <c r="N109" s="29" t="str">
        <f>LOWER(CONCATENATE("bittrex:",SUBSTITUTE(bittrex[[#This Row],[Column1.MarketName]],"-","")))</f>
        <v>bittrex:btcmyst</v>
      </c>
      <c r="O109" s="26" t="str">
        <f>LOWER(CONCATENATE(SUBSTITUTE(bittrex[[#This Row],[Column1.MarketName]],"-","")))</f>
        <v>btcmyst</v>
      </c>
      <c r="P109" s="35">
        <f>bittrex[[#This Row],[Column1.Last]]</f>
        <v>2.6676E-4</v>
      </c>
    </row>
    <row r="110" spans="1:16">
      <c r="A110" t="s">
        <v>616</v>
      </c>
      <c r="B110">
        <v>3.5628999999999999E-4</v>
      </c>
      <c r="C110">
        <v>2.9451999999999999E-4</v>
      </c>
      <c r="D110">
        <v>3626619.8284033099</v>
      </c>
      <c r="E110">
        <v>3.1655000000000002E-4</v>
      </c>
      <c r="F110">
        <v>1172.7564326500001</v>
      </c>
      <c r="G110" t="s">
        <v>1359</v>
      </c>
      <c r="H110">
        <v>3.1655000000000002E-4</v>
      </c>
      <c r="I110">
        <v>3.1799999999999998E-4</v>
      </c>
      <c r="J110">
        <v>1136</v>
      </c>
      <c r="K110">
        <v>2778</v>
      </c>
      <c r="L110">
        <v>3.5168999999999999E-4</v>
      </c>
      <c r="M110" t="s">
        <v>617</v>
      </c>
      <c r="N110" s="29" t="str">
        <f>LOWER(CONCATENATE("bittrex:",SUBSTITUTE(bittrex[[#This Row],[Column1.MarketName]],"-","")))</f>
        <v>bittrex:btcnav</v>
      </c>
      <c r="O110" s="26" t="str">
        <f>LOWER(CONCATENATE(SUBSTITUTE(bittrex[[#This Row],[Column1.MarketName]],"-","")))</f>
        <v>btcnav</v>
      </c>
      <c r="P110" s="35">
        <f>bittrex[[#This Row],[Column1.Last]]</f>
        <v>3.1655000000000002E-4</v>
      </c>
    </row>
    <row r="111" spans="1:16">
      <c r="A111" t="s">
        <v>618</v>
      </c>
      <c r="B111">
        <v>2.2259999999999999E-4</v>
      </c>
      <c r="C111">
        <v>2.1414000000000001E-4</v>
      </c>
      <c r="D111">
        <v>305549.96347284003</v>
      </c>
      <c r="E111">
        <v>2.1854E-4</v>
      </c>
      <c r="F111">
        <v>66.476686720000004</v>
      </c>
      <c r="G111" t="s">
        <v>1360</v>
      </c>
      <c r="H111">
        <v>2.1704E-4</v>
      </c>
      <c r="I111">
        <v>2.1854E-4</v>
      </c>
      <c r="J111">
        <v>123</v>
      </c>
      <c r="K111">
        <v>2683</v>
      </c>
      <c r="L111">
        <v>2.2002E-4</v>
      </c>
      <c r="M111" t="s">
        <v>619</v>
      </c>
      <c r="N111" s="29" t="str">
        <f>LOWER(CONCATENATE("bittrex:",SUBSTITUTE(bittrex[[#This Row],[Column1.MarketName]],"-","")))</f>
        <v>bittrex:btcnbt</v>
      </c>
      <c r="O111" s="26" t="str">
        <f>LOWER(CONCATENATE(SUBSTITUTE(bittrex[[#This Row],[Column1.MarketName]],"-","")))</f>
        <v>btcnbt</v>
      </c>
      <c r="P111" s="35">
        <f>bittrex[[#This Row],[Column1.Last]]</f>
        <v>2.1854E-4</v>
      </c>
    </row>
    <row r="112" spans="1:16">
      <c r="A112" t="s">
        <v>620</v>
      </c>
      <c r="B112">
        <v>7.3999699999999996E-3</v>
      </c>
      <c r="C112">
        <v>4.7159999999999997E-3</v>
      </c>
      <c r="D112">
        <v>4135887.4709975999</v>
      </c>
      <c r="E112">
        <v>6.5799999999999999E-3</v>
      </c>
      <c r="F112">
        <v>26156.78586656</v>
      </c>
      <c r="G112" t="s">
        <v>1361</v>
      </c>
      <c r="H112">
        <v>6.5749700000000003E-3</v>
      </c>
      <c r="I112">
        <v>6.5799999999999999E-3</v>
      </c>
      <c r="J112">
        <v>6696</v>
      </c>
      <c r="K112">
        <v>21039</v>
      </c>
      <c r="L112">
        <v>4.7542399999999999E-3</v>
      </c>
      <c r="M112" t="s">
        <v>621</v>
      </c>
      <c r="N112" s="29" t="str">
        <f>LOWER(CONCATENATE("bittrex:",SUBSTITUTE(bittrex[[#This Row],[Column1.MarketName]],"-","")))</f>
        <v>bittrex:btcneo</v>
      </c>
      <c r="O112" s="26" t="str">
        <f>LOWER(CONCATENATE(SUBSTITUTE(bittrex[[#This Row],[Column1.MarketName]],"-","")))</f>
        <v>btcneo</v>
      </c>
      <c r="P112" s="35">
        <f>bittrex[[#This Row],[Column1.Last]]</f>
        <v>6.5799999999999999E-3</v>
      </c>
    </row>
    <row r="113" spans="1:16">
      <c r="A113" t="s">
        <v>622</v>
      </c>
      <c r="B113">
        <v>1.0879900000000001E-3</v>
      </c>
      <c r="C113">
        <v>8.8922000000000003E-4</v>
      </c>
      <c r="D113">
        <v>45448.226988759998</v>
      </c>
      <c r="E113">
        <v>9.1363000000000002E-4</v>
      </c>
      <c r="F113">
        <v>44.265892659999999</v>
      </c>
      <c r="G113" t="s">
        <v>1362</v>
      </c>
      <c r="H113">
        <v>9.1363000000000002E-4</v>
      </c>
      <c r="I113">
        <v>9.1403000000000003E-4</v>
      </c>
      <c r="J113">
        <v>310</v>
      </c>
      <c r="K113">
        <v>1304</v>
      </c>
      <c r="L113">
        <v>8.9954E-4</v>
      </c>
      <c r="M113" t="s">
        <v>623</v>
      </c>
      <c r="N113" s="29" t="str">
        <f>LOWER(CONCATENATE("bittrex:",SUBSTITUTE(bittrex[[#This Row],[Column1.MarketName]],"-","")))</f>
        <v>bittrex:btcneos</v>
      </c>
      <c r="O113" s="26" t="str">
        <f>LOWER(CONCATENATE(SUBSTITUTE(bittrex[[#This Row],[Column1.MarketName]],"-","")))</f>
        <v>btcneos</v>
      </c>
      <c r="P113" s="35">
        <f>bittrex[[#This Row],[Column1.Last]]</f>
        <v>9.1363000000000002E-4</v>
      </c>
    </row>
    <row r="114" spans="1:16">
      <c r="A114" t="s">
        <v>624</v>
      </c>
      <c r="B114">
        <v>2.9220000000000001E-5</v>
      </c>
      <c r="C114">
        <v>2.7180000000000001E-5</v>
      </c>
      <c r="D114">
        <v>1090471.0384517801</v>
      </c>
      <c r="E114">
        <v>2.8099999999999999E-5</v>
      </c>
      <c r="F114">
        <v>31.08598254</v>
      </c>
      <c r="G114" t="s">
        <v>1363</v>
      </c>
      <c r="H114">
        <v>2.811E-5</v>
      </c>
      <c r="I114">
        <v>2.8370000000000001E-5</v>
      </c>
      <c r="J114">
        <v>513</v>
      </c>
      <c r="K114">
        <v>2473</v>
      </c>
      <c r="L114">
        <v>2.9220000000000001E-5</v>
      </c>
      <c r="M114" t="s">
        <v>625</v>
      </c>
      <c r="N114" s="29" t="str">
        <f>LOWER(CONCATENATE("bittrex:",SUBSTITUTE(bittrex[[#This Row],[Column1.MarketName]],"-","")))</f>
        <v>bittrex:btcnlg</v>
      </c>
      <c r="O114" s="26" t="str">
        <f>LOWER(CONCATENATE(SUBSTITUTE(bittrex[[#This Row],[Column1.MarketName]],"-","")))</f>
        <v>btcnlg</v>
      </c>
      <c r="P114" s="35">
        <f>bittrex[[#This Row],[Column1.Last]]</f>
        <v>2.8099999999999999E-5</v>
      </c>
    </row>
    <row r="115" spans="1:16">
      <c r="A115" t="s">
        <v>626</v>
      </c>
      <c r="B115">
        <v>5.0896400000000003E-3</v>
      </c>
      <c r="C115">
        <v>4.32001E-3</v>
      </c>
      <c r="D115">
        <v>13575.778685449999</v>
      </c>
      <c r="E115">
        <v>4.6932700000000003E-3</v>
      </c>
      <c r="F115">
        <v>64.322262289999998</v>
      </c>
      <c r="G115" t="s">
        <v>1364</v>
      </c>
      <c r="H115">
        <v>4.6950000000000004E-3</v>
      </c>
      <c r="I115">
        <v>4.69667E-3</v>
      </c>
      <c r="J115">
        <v>301</v>
      </c>
      <c r="K115">
        <v>4700</v>
      </c>
      <c r="L115">
        <v>4.5882099999999997E-3</v>
      </c>
      <c r="M115" t="s">
        <v>627</v>
      </c>
      <c r="N115" s="29" t="str">
        <f>LOWER(CONCATENATE("bittrex:",SUBSTITUTE(bittrex[[#This Row],[Column1.MarketName]],"-","")))</f>
        <v>bittrex:btcnmr</v>
      </c>
      <c r="O115" s="26" t="str">
        <f>LOWER(CONCATENATE(SUBSTITUTE(bittrex[[#This Row],[Column1.MarketName]],"-","")))</f>
        <v>btcnmr</v>
      </c>
      <c r="P115" s="35">
        <f>bittrex[[#This Row],[Column1.Last]]</f>
        <v>4.6932700000000003E-3</v>
      </c>
    </row>
    <row r="116" spans="1:16">
      <c r="A116" t="s">
        <v>628</v>
      </c>
      <c r="B116">
        <v>6.0000000000000002E-5</v>
      </c>
      <c r="C116">
        <v>5.3749999999999999E-5</v>
      </c>
      <c r="D116">
        <v>186419.14453367001</v>
      </c>
      <c r="E116">
        <v>5.6990000000000002E-5</v>
      </c>
      <c r="F116">
        <v>10.56020174</v>
      </c>
      <c r="G116" t="s">
        <v>1365</v>
      </c>
      <c r="H116">
        <v>5.6079999999999998E-5</v>
      </c>
      <c r="I116">
        <v>5.694E-5</v>
      </c>
      <c r="J116">
        <v>155</v>
      </c>
      <c r="K116">
        <v>1704</v>
      </c>
      <c r="L116">
        <v>5.5500000000000001E-5</v>
      </c>
      <c r="M116" t="s">
        <v>629</v>
      </c>
      <c r="N116" s="29" t="str">
        <f>LOWER(CONCATENATE("bittrex:",SUBSTITUTE(bittrex[[#This Row],[Column1.MarketName]],"-","")))</f>
        <v>bittrex:btcnxc</v>
      </c>
      <c r="O116" s="26" t="str">
        <f>LOWER(CONCATENATE(SUBSTITUTE(bittrex[[#This Row],[Column1.MarketName]],"-","")))</f>
        <v>btcnxc</v>
      </c>
      <c r="P116" s="35">
        <f>bittrex[[#This Row],[Column1.Last]]</f>
        <v>5.6990000000000002E-5</v>
      </c>
    </row>
    <row r="117" spans="1:16">
      <c r="A117" t="s">
        <v>630</v>
      </c>
      <c r="B117">
        <v>7.1555000000000002E-4</v>
      </c>
      <c r="C117">
        <v>6.3000000000000003E-4</v>
      </c>
      <c r="D117">
        <v>285192.45415036997</v>
      </c>
      <c r="E117">
        <v>7.1535999999999995E-4</v>
      </c>
      <c r="F117">
        <v>193.63442427999999</v>
      </c>
      <c r="G117" t="s">
        <v>1366</v>
      </c>
      <c r="H117">
        <v>7.1535000000000001E-4</v>
      </c>
      <c r="I117">
        <v>7.1538000000000005E-4</v>
      </c>
      <c r="J117">
        <v>773</v>
      </c>
      <c r="K117">
        <v>1051</v>
      </c>
      <c r="L117">
        <v>7.0025999999999997E-4</v>
      </c>
      <c r="M117" t="s">
        <v>631</v>
      </c>
      <c r="N117" s="29" t="str">
        <f>LOWER(CONCATENATE("bittrex:",SUBSTITUTE(bittrex[[#This Row],[Column1.MarketName]],"-","")))</f>
        <v>bittrex:btcnxs</v>
      </c>
      <c r="O117" s="26" t="str">
        <f>LOWER(CONCATENATE(SUBSTITUTE(bittrex[[#This Row],[Column1.MarketName]],"-","")))</f>
        <v>btcnxs</v>
      </c>
      <c r="P117" s="35">
        <f>bittrex[[#This Row],[Column1.Last]]</f>
        <v>7.1535999999999995E-4</v>
      </c>
    </row>
    <row r="118" spans="1:16">
      <c r="A118" t="s">
        <v>632</v>
      </c>
      <c r="B118">
        <v>2.544E-5</v>
      </c>
      <c r="C118">
        <v>2.2799999999999999E-5</v>
      </c>
      <c r="D118">
        <v>24424657.842919171</v>
      </c>
      <c r="E118">
        <v>2.4939999999999998E-5</v>
      </c>
      <c r="F118">
        <v>584.47917098000005</v>
      </c>
      <c r="G118" t="s">
        <v>1367</v>
      </c>
      <c r="H118">
        <v>2.472E-5</v>
      </c>
      <c r="I118">
        <v>2.4899999999999999E-5</v>
      </c>
      <c r="J118">
        <v>697</v>
      </c>
      <c r="K118">
        <v>8039</v>
      </c>
      <c r="L118">
        <v>2.3649999999999999E-5</v>
      </c>
      <c r="M118" t="s">
        <v>633</v>
      </c>
      <c r="N118" s="29" t="str">
        <f>LOWER(CONCATENATE("bittrex:",SUBSTITUTE(bittrex[[#This Row],[Column1.MarketName]],"-","")))</f>
        <v>bittrex:btcnxt</v>
      </c>
      <c r="O118" s="26" t="str">
        <f>LOWER(CONCATENATE(SUBSTITUTE(bittrex[[#This Row],[Column1.MarketName]],"-","")))</f>
        <v>btcnxt</v>
      </c>
      <c r="P118" s="35">
        <f>bittrex[[#This Row],[Column1.Last]]</f>
        <v>2.4939999999999998E-5</v>
      </c>
    </row>
    <row r="119" spans="1:16">
      <c r="A119" t="s">
        <v>634</v>
      </c>
      <c r="B119">
        <v>6.9999999999999994E-5</v>
      </c>
      <c r="C119">
        <v>5.5899999999999997E-5</v>
      </c>
      <c r="D119">
        <v>10705670.380497631</v>
      </c>
      <c r="E119">
        <v>6.2550000000000003E-5</v>
      </c>
      <c r="F119">
        <v>675.85057877999998</v>
      </c>
      <c r="G119" t="s">
        <v>1368</v>
      </c>
      <c r="H119">
        <v>6.2550000000000003E-5</v>
      </c>
      <c r="I119">
        <v>6.2810000000000003E-5</v>
      </c>
      <c r="J119">
        <v>1125</v>
      </c>
      <c r="K119">
        <v>3739</v>
      </c>
      <c r="L119">
        <v>6.5510000000000001E-5</v>
      </c>
      <c r="M119" t="s">
        <v>635</v>
      </c>
      <c r="N119" s="29" t="str">
        <f>LOWER(CONCATENATE("bittrex:",SUBSTITUTE(bittrex[[#This Row],[Column1.MarketName]],"-","")))</f>
        <v>bittrex:btcok</v>
      </c>
      <c r="O119" s="26" t="str">
        <f>LOWER(CONCATENATE(SUBSTITUTE(bittrex[[#This Row],[Column1.MarketName]],"-","")))</f>
        <v>btcok</v>
      </c>
      <c r="P119" s="35">
        <f>bittrex[[#This Row],[Column1.Last]]</f>
        <v>6.2550000000000003E-5</v>
      </c>
    </row>
    <row r="120" spans="1:16">
      <c r="A120" t="s">
        <v>636</v>
      </c>
      <c r="B120">
        <v>2.9715000000000002E-3</v>
      </c>
      <c r="C120">
        <v>2.33E-3</v>
      </c>
      <c r="D120">
        <v>5212155.9052710701</v>
      </c>
      <c r="E120">
        <v>2.7922200000000002E-3</v>
      </c>
      <c r="F120">
        <v>14198.11475585</v>
      </c>
      <c r="G120" t="s">
        <v>1369</v>
      </c>
      <c r="H120">
        <v>2.7854099999999999E-3</v>
      </c>
      <c r="I120">
        <v>2.7922200000000002E-3</v>
      </c>
      <c r="J120">
        <v>4866</v>
      </c>
      <c r="K120">
        <v>4618</v>
      </c>
      <c r="L120">
        <v>2.5240200000000001E-3</v>
      </c>
      <c r="M120" t="s">
        <v>637</v>
      </c>
      <c r="N120" s="29" t="str">
        <f>LOWER(CONCATENATE("bittrex:",SUBSTITUTE(bittrex[[#This Row],[Column1.MarketName]],"-","")))</f>
        <v>bittrex:btcomg</v>
      </c>
      <c r="O120" s="26" t="str">
        <f>LOWER(CONCATENATE(SUBSTITUTE(bittrex[[#This Row],[Column1.MarketName]],"-","")))</f>
        <v>btcomg</v>
      </c>
      <c r="P120" s="35">
        <f>bittrex[[#This Row],[Column1.Last]]</f>
        <v>2.7922200000000002E-3</v>
      </c>
    </row>
    <row r="121" spans="1:16">
      <c r="A121" t="s">
        <v>638</v>
      </c>
      <c r="B121">
        <v>9.0696300000000004E-3</v>
      </c>
      <c r="C121">
        <v>6.6027300000000002E-3</v>
      </c>
      <c r="D121">
        <v>13411.54692397</v>
      </c>
      <c r="E121">
        <v>8.26E-3</v>
      </c>
      <c r="F121">
        <v>109.04772391</v>
      </c>
      <c r="G121" t="s">
        <v>1370</v>
      </c>
      <c r="H121">
        <v>8.26E-3</v>
      </c>
      <c r="I121">
        <v>8.3000000000000001E-3</v>
      </c>
      <c r="J121">
        <v>262</v>
      </c>
      <c r="K121">
        <v>1500</v>
      </c>
      <c r="L121">
        <v>6.7499400000000003E-3</v>
      </c>
      <c r="M121" t="s">
        <v>639</v>
      </c>
      <c r="N121" s="29" t="str">
        <f>LOWER(CONCATENATE("bittrex:",SUBSTITUTE(bittrex[[#This Row],[Column1.MarketName]],"-","")))</f>
        <v>bittrex:btcomni</v>
      </c>
      <c r="O121" s="26" t="str">
        <f>LOWER(CONCATENATE(SUBSTITUTE(bittrex[[#This Row],[Column1.MarketName]],"-","")))</f>
        <v>btcomni</v>
      </c>
      <c r="P121" s="35">
        <f>bittrex[[#This Row],[Column1.Last]]</f>
        <v>8.26E-3</v>
      </c>
    </row>
    <row r="122" spans="1:16">
      <c r="A122" t="s">
        <v>640</v>
      </c>
      <c r="B122">
        <v>2.4876099999999999E-3</v>
      </c>
      <c r="C122">
        <v>2.3122199999999998E-3</v>
      </c>
      <c r="D122">
        <v>18062.274661210002</v>
      </c>
      <c r="E122">
        <v>2.3653799999999998E-3</v>
      </c>
      <c r="F122">
        <v>42.56173982</v>
      </c>
      <c r="G122" t="s">
        <v>1371</v>
      </c>
      <c r="H122">
        <v>2.3246899999999999E-3</v>
      </c>
      <c r="I122">
        <v>2.3624599999999998E-3</v>
      </c>
      <c r="J122">
        <v>279</v>
      </c>
      <c r="K122">
        <v>938</v>
      </c>
      <c r="L122">
        <v>2.4599999999999999E-3</v>
      </c>
      <c r="M122" t="s">
        <v>641</v>
      </c>
      <c r="N122" s="29" t="str">
        <f>LOWER(CONCATENATE("bittrex:",SUBSTITUTE(bittrex[[#This Row],[Column1.MarketName]],"-","")))</f>
        <v>bittrex:btcpart</v>
      </c>
      <c r="O122" s="26" t="str">
        <f>LOWER(CONCATENATE(SUBSTITUTE(bittrex[[#This Row],[Column1.MarketName]],"-","")))</f>
        <v>btcpart</v>
      </c>
      <c r="P122" s="35">
        <f>bittrex[[#This Row],[Column1.Last]]</f>
        <v>2.3653799999999998E-3</v>
      </c>
    </row>
    <row r="123" spans="1:16">
      <c r="A123" t="s">
        <v>642</v>
      </c>
      <c r="B123">
        <v>7.3999999999999999E-4</v>
      </c>
      <c r="C123">
        <v>6.2929999999999995E-4</v>
      </c>
      <c r="D123">
        <v>3417142.59641677</v>
      </c>
      <c r="E123">
        <v>7.1000000000000002E-4</v>
      </c>
      <c r="F123">
        <v>2309.6410900000001</v>
      </c>
      <c r="G123" t="s">
        <v>1372</v>
      </c>
      <c r="H123">
        <v>7.0852000000000003E-4</v>
      </c>
      <c r="I123">
        <v>7.1000000000000002E-4</v>
      </c>
      <c r="J123">
        <v>1683</v>
      </c>
      <c r="K123">
        <v>11878</v>
      </c>
      <c r="L123">
        <v>6.4652000000000004E-4</v>
      </c>
      <c r="M123" t="s">
        <v>643</v>
      </c>
      <c r="N123" s="29" t="str">
        <f>LOWER(CONCATENATE("bittrex:",SUBSTITUTE(bittrex[[#This Row],[Column1.MarketName]],"-","")))</f>
        <v>bittrex:btcpay</v>
      </c>
      <c r="O123" s="26" t="str">
        <f>LOWER(CONCATENATE(SUBSTITUTE(bittrex[[#This Row],[Column1.MarketName]],"-","")))</f>
        <v>btcpay</v>
      </c>
      <c r="P123" s="35">
        <f>bittrex[[#This Row],[Column1.Last]]</f>
        <v>7.1000000000000002E-4</v>
      </c>
    </row>
    <row r="124" spans="1:16">
      <c r="A124" t="s">
        <v>644</v>
      </c>
      <c r="B124">
        <v>5.7739999999999999E-5</v>
      </c>
      <c r="C124">
        <v>4.0009999999999998E-5</v>
      </c>
      <c r="D124">
        <v>5602220.5288768597</v>
      </c>
      <c r="E124">
        <v>4.4369999999999997E-5</v>
      </c>
      <c r="F124">
        <v>277.14966577000001</v>
      </c>
      <c r="G124" t="s">
        <v>1373</v>
      </c>
      <c r="H124">
        <v>4.4369999999999997E-5</v>
      </c>
      <c r="I124">
        <v>4.4379999999999999E-5</v>
      </c>
      <c r="J124">
        <v>304</v>
      </c>
      <c r="K124">
        <v>909</v>
      </c>
      <c r="L124">
        <v>5.3879999999999999E-5</v>
      </c>
      <c r="M124" t="s">
        <v>645</v>
      </c>
      <c r="N124" s="29" t="str">
        <f>LOWER(CONCATENATE("bittrex:",SUBSTITUTE(bittrex[[#This Row],[Column1.MarketName]],"-","")))</f>
        <v>bittrex:btcpdc</v>
      </c>
      <c r="O124" s="26" t="str">
        <f>LOWER(CONCATENATE(SUBSTITUTE(bittrex[[#This Row],[Column1.MarketName]],"-","")))</f>
        <v>btcpdc</v>
      </c>
      <c r="P124" s="35">
        <f>bittrex[[#This Row],[Column1.Last]]</f>
        <v>4.4369999999999997E-5</v>
      </c>
    </row>
    <row r="125" spans="1:16">
      <c r="A125" t="s">
        <v>646</v>
      </c>
      <c r="B125">
        <v>7.6499999999999996E-6</v>
      </c>
      <c r="C125">
        <v>7.08E-6</v>
      </c>
      <c r="D125">
        <v>4842965.5701552397</v>
      </c>
      <c r="E125">
        <v>7.1500000000000002E-6</v>
      </c>
      <c r="F125">
        <v>35.205081489999998</v>
      </c>
      <c r="G125" t="s">
        <v>1374</v>
      </c>
      <c r="H125">
        <v>7.1500000000000002E-6</v>
      </c>
      <c r="I125">
        <v>7.17E-6</v>
      </c>
      <c r="J125">
        <v>384</v>
      </c>
      <c r="K125">
        <v>2089</v>
      </c>
      <c r="L125">
        <v>7.4900000000000003E-6</v>
      </c>
      <c r="M125" t="s">
        <v>647</v>
      </c>
      <c r="N125" s="29" t="str">
        <f>LOWER(CONCATENATE("bittrex:",SUBSTITUTE(bittrex[[#This Row],[Column1.MarketName]],"-","")))</f>
        <v>bittrex:btcpink</v>
      </c>
      <c r="O125" s="26" t="str">
        <f>LOWER(CONCATENATE(SUBSTITUTE(bittrex[[#This Row],[Column1.MarketName]],"-","")))</f>
        <v>btcpink</v>
      </c>
      <c r="P125" s="35">
        <f>bittrex[[#This Row],[Column1.Last]]</f>
        <v>7.1500000000000002E-6</v>
      </c>
    </row>
    <row r="126" spans="1:16">
      <c r="A126" t="s">
        <v>648</v>
      </c>
      <c r="B126">
        <v>9.0350000000000001E-4</v>
      </c>
      <c r="C126">
        <v>8.6629999999999997E-4</v>
      </c>
      <c r="D126">
        <v>383646.04510849999</v>
      </c>
      <c r="E126">
        <v>8.7522000000000001E-4</v>
      </c>
      <c r="F126">
        <v>339.80309149999999</v>
      </c>
      <c r="G126" t="s">
        <v>1375</v>
      </c>
      <c r="H126">
        <v>8.7522000000000001E-4</v>
      </c>
      <c r="I126">
        <v>8.7969000000000003E-4</v>
      </c>
      <c r="J126">
        <v>1380</v>
      </c>
      <c r="K126">
        <v>4461</v>
      </c>
      <c r="L126">
        <v>8.6914999999999996E-4</v>
      </c>
      <c r="M126" t="s">
        <v>649</v>
      </c>
      <c r="N126" s="29" t="str">
        <f>LOWER(CONCATENATE("bittrex:",SUBSTITUTE(bittrex[[#This Row],[Column1.MarketName]],"-","")))</f>
        <v>bittrex:btcpivx</v>
      </c>
      <c r="O126" s="26" t="str">
        <f>LOWER(CONCATENATE(SUBSTITUTE(bittrex[[#This Row],[Column1.MarketName]],"-","")))</f>
        <v>btcpivx</v>
      </c>
      <c r="P126" s="35">
        <f>bittrex[[#This Row],[Column1.Last]]</f>
        <v>8.7522000000000001E-4</v>
      </c>
    </row>
    <row r="127" spans="1:16">
      <c r="A127" t="s">
        <v>650</v>
      </c>
      <c r="B127">
        <v>1.1677E-4</v>
      </c>
      <c r="C127">
        <v>8.0530000000000003E-5</v>
      </c>
      <c r="D127">
        <v>429714.03712137003</v>
      </c>
      <c r="E127">
        <v>8.8269999999999993E-5</v>
      </c>
      <c r="F127">
        <v>42.731796559999999</v>
      </c>
      <c r="G127" t="s">
        <v>1376</v>
      </c>
      <c r="H127">
        <v>8.8209999999999997E-5</v>
      </c>
      <c r="I127">
        <v>8.8239999999999995E-5</v>
      </c>
      <c r="J127">
        <v>345</v>
      </c>
      <c r="K127">
        <v>1780</v>
      </c>
      <c r="L127">
        <v>8.8999999999999995E-5</v>
      </c>
      <c r="M127" t="s">
        <v>651</v>
      </c>
      <c r="N127" s="29" t="str">
        <f>LOWER(CONCATENATE("bittrex:",SUBSTITUTE(bittrex[[#This Row],[Column1.MarketName]],"-","")))</f>
        <v>bittrex:btcpkb</v>
      </c>
      <c r="O127" s="26" t="str">
        <f>LOWER(CONCATENATE(SUBSTITUTE(bittrex[[#This Row],[Column1.MarketName]],"-","")))</f>
        <v>btcpkb</v>
      </c>
      <c r="P127" s="35">
        <f>bittrex[[#This Row],[Column1.Last]]</f>
        <v>8.8269999999999993E-5</v>
      </c>
    </row>
    <row r="128" spans="1:16">
      <c r="A128" t="s">
        <v>652</v>
      </c>
      <c r="B128">
        <v>2.2379999999999999E-5</v>
      </c>
      <c r="C128">
        <v>2.124E-5</v>
      </c>
      <c r="D128">
        <v>747265.87714752997</v>
      </c>
      <c r="E128">
        <v>2.181E-5</v>
      </c>
      <c r="F128">
        <v>16.330119180000001</v>
      </c>
      <c r="G128" t="s">
        <v>1377</v>
      </c>
      <c r="H128">
        <v>2.181E-5</v>
      </c>
      <c r="I128">
        <v>2.1970000000000001E-5</v>
      </c>
      <c r="J128">
        <v>295</v>
      </c>
      <c r="K128">
        <v>2957</v>
      </c>
      <c r="L128">
        <v>2.1909999999999999E-5</v>
      </c>
      <c r="M128" t="s">
        <v>489</v>
      </c>
      <c r="N128" s="29" t="str">
        <f>LOWER(CONCATENATE("bittrex:",SUBSTITUTE(bittrex[[#This Row],[Column1.MarketName]],"-","")))</f>
        <v>bittrex:btcpot</v>
      </c>
      <c r="O128" s="26" t="str">
        <f>LOWER(CONCATENATE(SUBSTITUTE(bittrex[[#This Row],[Column1.MarketName]],"-","")))</f>
        <v>btcpot</v>
      </c>
      <c r="P128" s="35">
        <f>bittrex[[#This Row],[Column1.Last]]</f>
        <v>2.181E-5</v>
      </c>
    </row>
    <row r="129" spans="1:16">
      <c r="A129" t="s">
        <v>653</v>
      </c>
      <c r="B129">
        <v>4.6000000000000001E-4</v>
      </c>
      <c r="C129">
        <v>3.9552000000000001E-4</v>
      </c>
      <c r="D129">
        <v>94613.004606779999</v>
      </c>
      <c r="E129">
        <v>4.0233000000000001E-4</v>
      </c>
      <c r="F129">
        <v>39.063329260000003</v>
      </c>
      <c r="G129" t="s">
        <v>1378</v>
      </c>
      <c r="H129">
        <v>4.0234999999999999E-4</v>
      </c>
      <c r="I129">
        <v>4.0799E-4</v>
      </c>
      <c r="J129">
        <v>227</v>
      </c>
      <c r="K129">
        <v>2437</v>
      </c>
      <c r="L129">
        <v>4.191E-4</v>
      </c>
      <c r="M129" t="s">
        <v>501</v>
      </c>
      <c r="N129" s="29" t="str">
        <f>LOWER(CONCATENATE("bittrex:",SUBSTITUTE(bittrex[[#This Row],[Column1.MarketName]],"-","")))</f>
        <v>bittrex:btcppc</v>
      </c>
      <c r="O129" s="26" t="str">
        <f>LOWER(CONCATENATE(SUBSTITUTE(bittrex[[#This Row],[Column1.MarketName]],"-","")))</f>
        <v>btcppc</v>
      </c>
      <c r="P129" s="35">
        <f>bittrex[[#This Row],[Column1.Last]]</f>
        <v>4.0233000000000001E-4</v>
      </c>
    </row>
    <row r="130" spans="1:16">
      <c r="A130" t="s">
        <v>654</v>
      </c>
      <c r="B130">
        <v>1.097E-5</v>
      </c>
      <c r="C130">
        <v>9.02E-6</v>
      </c>
      <c r="D130">
        <v>9500116.2751201708</v>
      </c>
      <c r="E130">
        <v>9.5300000000000002E-6</v>
      </c>
      <c r="F130">
        <v>92.973170999999994</v>
      </c>
      <c r="G130" t="s">
        <v>1379</v>
      </c>
      <c r="H130">
        <v>9.5300000000000002E-6</v>
      </c>
      <c r="I130">
        <v>9.5400000000000001E-6</v>
      </c>
      <c r="J130">
        <v>593</v>
      </c>
      <c r="K130">
        <v>1813</v>
      </c>
      <c r="L130">
        <v>1.0859999999999999E-5</v>
      </c>
      <c r="M130" t="s">
        <v>655</v>
      </c>
      <c r="N130" s="29" t="str">
        <f>LOWER(CONCATENATE("bittrex:",SUBSTITUTE(bittrex[[#This Row],[Column1.MarketName]],"-","")))</f>
        <v>bittrex:btcptc</v>
      </c>
      <c r="O130" s="26" t="str">
        <f>LOWER(CONCATENATE(SUBSTITUTE(bittrex[[#This Row],[Column1.MarketName]],"-","")))</f>
        <v>btcptc</v>
      </c>
      <c r="P130" s="35">
        <f>bittrex[[#This Row],[Column1.Last]]</f>
        <v>9.5300000000000002E-6</v>
      </c>
    </row>
    <row r="131" spans="1:16">
      <c r="A131" t="s">
        <v>656</v>
      </c>
      <c r="B131">
        <v>8.3170000000000005E-5</v>
      </c>
      <c r="C131">
        <v>7.6039999999999997E-5</v>
      </c>
      <c r="D131">
        <v>1082607.0571121101</v>
      </c>
      <c r="E131">
        <v>8.03E-5</v>
      </c>
      <c r="F131">
        <v>85.832817550000001</v>
      </c>
      <c r="G131" t="s">
        <v>1380</v>
      </c>
      <c r="H131">
        <v>8.0309999999999995E-5</v>
      </c>
      <c r="I131">
        <v>8.1160000000000002E-5</v>
      </c>
      <c r="J131">
        <v>630</v>
      </c>
      <c r="K131">
        <v>3620</v>
      </c>
      <c r="L131">
        <v>8.0080000000000006E-5</v>
      </c>
      <c r="M131" t="s">
        <v>657</v>
      </c>
      <c r="N131" s="29" t="str">
        <f>LOWER(CONCATENATE("bittrex:",SUBSTITUTE(bittrex[[#This Row],[Column1.MarketName]],"-","")))</f>
        <v>bittrex:btcptoy</v>
      </c>
      <c r="O131" s="26" t="str">
        <f>LOWER(CONCATENATE(SUBSTITUTE(bittrex[[#This Row],[Column1.MarketName]],"-","")))</f>
        <v>btcptoy</v>
      </c>
      <c r="P131" s="35">
        <f>bittrex[[#This Row],[Column1.Last]]</f>
        <v>8.03E-5</v>
      </c>
    </row>
    <row r="132" spans="1:16">
      <c r="A132" t="s">
        <v>658</v>
      </c>
      <c r="B132">
        <v>1.5300000000000001E-4</v>
      </c>
      <c r="C132">
        <v>1.2423999999999999E-4</v>
      </c>
      <c r="D132">
        <v>576810.72119836998</v>
      </c>
      <c r="E132">
        <v>1.3904999999999999E-4</v>
      </c>
      <c r="F132">
        <v>80.210151530000005</v>
      </c>
      <c r="G132" t="s">
        <v>1381</v>
      </c>
      <c r="H132">
        <v>1.3700999999999999E-4</v>
      </c>
      <c r="I132">
        <v>1.3929E-4</v>
      </c>
      <c r="J132">
        <v>369</v>
      </c>
      <c r="K132">
        <v>3550</v>
      </c>
      <c r="L132">
        <v>1.3213E-4</v>
      </c>
      <c r="M132" t="s">
        <v>659</v>
      </c>
      <c r="N132" s="29" t="str">
        <f>LOWER(CONCATENATE("bittrex:",SUBSTITUTE(bittrex[[#This Row],[Column1.MarketName]],"-","")))</f>
        <v>bittrex:btcqrl</v>
      </c>
      <c r="O132" s="26" t="str">
        <f>LOWER(CONCATENATE(SUBSTITUTE(bittrex[[#This Row],[Column1.MarketName]],"-","")))</f>
        <v>btcqrl</v>
      </c>
      <c r="P132" s="35">
        <f>bittrex[[#This Row],[Column1.Last]]</f>
        <v>1.3904999999999999E-4</v>
      </c>
    </row>
    <row r="133" spans="1:16">
      <c r="A133" t="s">
        <v>660</v>
      </c>
      <c r="B133">
        <v>3.4989999999999999E-3</v>
      </c>
      <c r="C133">
        <v>2.4126799999999999E-3</v>
      </c>
      <c r="D133">
        <v>3253631.5662287902</v>
      </c>
      <c r="E133">
        <v>3.0527100000000001E-3</v>
      </c>
      <c r="F133">
        <v>9540.8577798200004</v>
      </c>
      <c r="G133" t="s">
        <v>1274</v>
      </c>
      <c r="H133">
        <v>3.0577999999999998E-3</v>
      </c>
      <c r="I133">
        <v>3.0599999999999998E-3</v>
      </c>
      <c r="J133">
        <v>2057</v>
      </c>
      <c r="K133">
        <v>6981</v>
      </c>
      <c r="L133">
        <v>2.4494999999999999E-3</v>
      </c>
      <c r="M133" t="s">
        <v>661</v>
      </c>
      <c r="N133" s="29" t="str">
        <f>LOWER(CONCATENATE("bittrex:",SUBSTITUTE(bittrex[[#This Row],[Column1.MarketName]],"-","")))</f>
        <v>bittrex:btcqtum</v>
      </c>
      <c r="O133" s="26" t="str">
        <f>LOWER(CONCATENATE(SUBSTITUTE(bittrex[[#This Row],[Column1.MarketName]],"-","")))</f>
        <v>btcqtum</v>
      </c>
      <c r="P133" s="35">
        <f>bittrex[[#This Row],[Column1.Last]]</f>
        <v>3.0527100000000001E-3</v>
      </c>
    </row>
    <row r="134" spans="1:16">
      <c r="A134" t="s">
        <v>662</v>
      </c>
      <c r="B134">
        <v>5.7099999999999999E-5</v>
      </c>
      <c r="C134">
        <v>4.7339999999999997E-5</v>
      </c>
      <c r="D134">
        <v>4068509.1271996498</v>
      </c>
      <c r="E134">
        <v>5.0000000000000002E-5</v>
      </c>
      <c r="F134">
        <v>206.18831496999999</v>
      </c>
      <c r="G134" t="s">
        <v>1382</v>
      </c>
      <c r="H134">
        <v>5.0000000000000002E-5</v>
      </c>
      <c r="I134">
        <v>5.0420000000000002E-5</v>
      </c>
      <c r="J134">
        <v>515</v>
      </c>
      <c r="K134">
        <v>4412</v>
      </c>
      <c r="L134">
        <v>5.6039999999999999E-5</v>
      </c>
      <c r="M134" t="s">
        <v>663</v>
      </c>
      <c r="N134" s="29" t="str">
        <f>LOWER(CONCATENATE("bittrex:",SUBSTITUTE(bittrex[[#This Row],[Column1.MarketName]],"-","")))</f>
        <v>bittrex:btcqwark</v>
      </c>
      <c r="O134" s="26" t="str">
        <f>LOWER(CONCATENATE(SUBSTITUTE(bittrex[[#This Row],[Column1.MarketName]],"-","")))</f>
        <v>btcqwark</v>
      </c>
      <c r="P134" s="35">
        <f>bittrex[[#This Row],[Column1.Last]]</f>
        <v>5.0000000000000002E-5</v>
      </c>
    </row>
    <row r="135" spans="1:16">
      <c r="A135" t="s">
        <v>664</v>
      </c>
      <c r="B135">
        <v>1.5478200000000001E-3</v>
      </c>
      <c r="C135">
        <v>1.36052E-3</v>
      </c>
      <c r="D135">
        <v>48073.735641829997</v>
      </c>
      <c r="E135">
        <v>1.4699299999999999E-3</v>
      </c>
      <c r="F135">
        <v>70.189283290000006</v>
      </c>
      <c r="G135" t="s">
        <v>1383</v>
      </c>
      <c r="H135">
        <v>1.46003E-3</v>
      </c>
      <c r="I135">
        <v>1.4699100000000001E-3</v>
      </c>
      <c r="J135">
        <v>320</v>
      </c>
      <c r="K135">
        <v>1449</v>
      </c>
      <c r="L135">
        <v>1.52768E-3</v>
      </c>
      <c r="M135" t="s">
        <v>665</v>
      </c>
      <c r="N135" s="29" t="str">
        <f>LOWER(CONCATENATE("bittrex:",SUBSTITUTE(bittrex[[#This Row],[Column1.MarketName]],"-","")))</f>
        <v>bittrex:btcrads</v>
      </c>
      <c r="O135" s="26" t="str">
        <f>LOWER(CONCATENATE(SUBSTITUTE(bittrex[[#This Row],[Column1.MarketName]],"-","")))</f>
        <v>btcrads</v>
      </c>
      <c r="P135" s="35">
        <f>bittrex[[#This Row],[Column1.Last]]</f>
        <v>1.4699299999999999E-3</v>
      </c>
    </row>
    <row r="136" spans="1:16">
      <c r="A136" t="s">
        <v>666</v>
      </c>
      <c r="B136">
        <v>1.3998999999999999E-4</v>
      </c>
      <c r="C136">
        <v>1.2999999999999999E-4</v>
      </c>
      <c r="D136">
        <v>31142.07887827</v>
      </c>
      <c r="E136">
        <v>1.3512999999999999E-4</v>
      </c>
      <c r="F136">
        <v>4.2531871600000004</v>
      </c>
      <c r="G136" t="s">
        <v>1384</v>
      </c>
      <c r="H136">
        <v>1.3515000000000001E-4</v>
      </c>
      <c r="I136">
        <v>1.3768E-4</v>
      </c>
      <c r="J136">
        <v>167</v>
      </c>
      <c r="K136">
        <v>3539</v>
      </c>
      <c r="L136">
        <v>1.3391999999999999E-4</v>
      </c>
      <c r="M136" t="s">
        <v>667</v>
      </c>
      <c r="N136" s="29" t="str">
        <f>LOWER(CONCATENATE("bittrex:",SUBSTITUTE(bittrex[[#This Row],[Column1.MarketName]],"-","")))</f>
        <v>bittrex:btcrby</v>
      </c>
      <c r="O136" s="26" t="str">
        <f>LOWER(CONCATENATE(SUBSTITUTE(bittrex[[#This Row],[Column1.MarketName]],"-","")))</f>
        <v>btcrby</v>
      </c>
      <c r="P136" s="35">
        <f>bittrex[[#This Row],[Column1.Last]]</f>
        <v>1.3512999999999999E-4</v>
      </c>
    </row>
    <row r="137" spans="1:16">
      <c r="A137" t="s">
        <v>668</v>
      </c>
      <c r="B137">
        <v>3.1E-7</v>
      </c>
      <c r="C137">
        <v>2.8000000000000002E-7</v>
      </c>
      <c r="D137">
        <v>689421207.1047554</v>
      </c>
      <c r="E137">
        <v>2.8999999999999998E-7</v>
      </c>
      <c r="F137">
        <v>201.84781161000001</v>
      </c>
      <c r="G137" t="s">
        <v>1385</v>
      </c>
      <c r="H137">
        <v>2.8999999999999998E-7</v>
      </c>
      <c r="I137">
        <v>2.9999999999999999E-7</v>
      </c>
      <c r="J137">
        <v>1956</v>
      </c>
      <c r="K137">
        <v>14601</v>
      </c>
      <c r="L137">
        <v>3.1E-7</v>
      </c>
      <c r="M137" t="s">
        <v>669</v>
      </c>
      <c r="N137" s="29" t="str">
        <f>LOWER(CONCATENATE("bittrex:",SUBSTITUTE(bittrex[[#This Row],[Column1.MarketName]],"-","")))</f>
        <v>bittrex:btcrdd</v>
      </c>
      <c r="O137" s="26" t="str">
        <f>LOWER(CONCATENATE(SUBSTITUTE(bittrex[[#This Row],[Column1.MarketName]],"-","")))</f>
        <v>btcrdd</v>
      </c>
      <c r="P137" s="35">
        <f>bittrex[[#This Row],[Column1.Last]]</f>
        <v>2.8999999999999998E-7</v>
      </c>
    </row>
    <row r="138" spans="1:16">
      <c r="A138" t="s">
        <v>670</v>
      </c>
      <c r="B138">
        <v>5.2444900000000001E-3</v>
      </c>
      <c r="C138">
        <v>4.9951099999999997E-3</v>
      </c>
      <c r="D138">
        <v>10638.94384751</v>
      </c>
      <c r="E138">
        <v>5.2224000000000003E-3</v>
      </c>
      <c r="F138">
        <v>54.510069260000002</v>
      </c>
      <c r="G138" t="s">
        <v>1381</v>
      </c>
      <c r="H138">
        <v>5.1759500000000003E-3</v>
      </c>
      <c r="I138">
        <v>5.2224000000000003E-3</v>
      </c>
      <c r="J138">
        <v>264</v>
      </c>
      <c r="K138">
        <v>1756</v>
      </c>
      <c r="L138">
        <v>5.1200000000000004E-3</v>
      </c>
      <c r="M138" t="s">
        <v>671</v>
      </c>
      <c r="N138" s="29" t="str">
        <f>LOWER(CONCATENATE("bittrex:",SUBSTITUTE(bittrex[[#This Row],[Column1.MarketName]],"-","")))</f>
        <v>bittrex:btcrep</v>
      </c>
      <c r="O138" s="26" t="str">
        <f>LOWER(CONCATENATE(SUBSTITUTE(bittrex[[#This Row],[Column1.MarketName]],"-","")))</f>
        <v>btcrep</v>
      </c>
      <c r="P138" s="35">
        <f>bittrex[[#This Row],[Column1.Last]]</f>
        <v>5.2224000000000003E-3</v>
      </c>
    </row>
    <row r="139" spans="1:16">
      <c r="A139" t="s">
        <v>672</v>
      </c>
      <c r="B139">
        <v>8.4090000000000003E-5</v>
      </c>
      <c r="C139">
        <v>7.0679999999999994E-5</v>
      </c>
      <c r="D139">
        <v>6636018.5812303703</v>
      </c>
      <c r="E139">
        <v>7.8170000000000005E-5</v>
      </c>
      <c r="F139">
        <v>511.70132781000001</v>
      </c>
      <c r="G139" t="s">
        <v>1386</v>
      </c>
      <c r="H139">
        <v>7.8170000000000005E-5</v>
      </c>
      <c r="I139">
        <v>7.8419999999999998E-5</v>
      </c>
      <c r="J139">
        <v>865</v>
      </c>
      <c r="K139">
        <v>4236</v>
      </c>
      <c r="L139">
        <v>8.2020000000000004E-5</v>
      </c>
      <c r="M139" t="s">
        <v>673</v>
      </c>
      <c r="N139" s="29" t="str">
        <f>LOWER(CONCATENATE("bittrex:",SUBSTITUTE(bittrex[[#This Row],[Column1.MarketName]],"-","")))</f>
        <v>bittrex:btcrise</v>
      </c>
      <c r="O139" s="26" t="str">
        <f>LOWER(CONCATENATE(SUBSTITUTE(bittrex[[#This Row],[Column1.MarketName]],"-","")))</f>
        <v>btcrise</v>
      </c>
      <c r="P139" s="35">
        <f>bittrex[[#This Row],[Column1.Last]]</f>
        <v>7.8170000000000005E-5</v>
      </c>
    </row>
    <row r="140" spans="1:16">
      <c r="A140" t="s">
        <v>674</v>
      </c>
      <c r="B140">
        <v>1.329E-4</v>
      </c>
      <c r="C140">
        <v>1.2303999999999999E-4</v>
      </c>
      <c r="D140">
        <v>335474.02627427998</v>
      </c>
      <c r="E140">
        <v>1.2662E-4</v>
      </c>
      <c r="F140">
        <v>42.356496049999997</v>
      </c>
      <c r="G140" t="s">
        <v>1387</v>
      </c>
      <c r="H140">
        <v>1.2615E-4</v>
      </c>
      <c r="I140">
        <v>1.2836E-4</v>
      </c>
      <c r="J140">
        <v>204</v>
      </c>
      <c r="K140">
        <v>3089</v>
      </c>
      <c r="L140">
        <v>1.315E-4</v>
      </c>
      <c r="M140" t="s">
        <v>675</v>
      </c>
      <c r="N140" s="29" t="str">
        <f>LOWER(CONCATENATE("bittrex:",SUBSTITUTE(bittrex[[#This Row],[Column1.MarketName]],"-","")))</f>
        <v>bittrex:btcrlc</v>
      </c>
      <c r="O140" s="26" t="str">
        <f>LOWER(CONCATENATE(SUBSTITUTE(bittrex[[#This Row],[Column1.MarketName]],"-","")))</f>
        <v>btcrlc</v>
      </c>
      <c r="P140" s="35">
        <f>bittrex[[#This Row],[Column1.Last]]</f>
        <v>1.2662E-4</v>
      </c>
    </row>
    <row r="141" spans="1:16">
      <c r="A141" t="s">
        <v>676</v>
      </c>
      <c r="B141">
        <v>2.7300000000000001E-6</v>
      </c>
      <c r="C141">
        <v>2.2699999999999999E-6</v>
      </c>
      <c r="D141">
        <v>70771987.204553455</v>
      </c>
      <c r="E141">
        <v>2.3599999999999999E-6</v>
      </c>
      <c r="F141">
        <v>174.20194448000001</v>
      </c>
      <c r="G141" t="s">
        <v>1388</v>
      </c>
      <c r="H141">
        <v>2.3499999999999999E-6</v>
      </c>
      <c r="I141">
        <v>2.3599999999999999E-6</v>
      </c>
      <c r="J141">
        <v>493</v>
      </c>
      <c r="K141">
        <v>6571</v>
      </c>
      <c r="L141">
        <v>2.6699999999999998E-6</v>
      </c>
      <c r="M141" t="s">
        <v>677</v>
      </c>
      <c r="N141" s="29" t="str">
        <f>LOWER(CONCATENATE("bittrex:",SUBSTITUTE(bittrex[[#This Row],[Column1.MarketName]],"-","")))</f>
        <v>bittrex:btcsafex</v>
      </c>
      <c r="O141" s="26" t="str">
        <f>LOWER(CONCATENATE(SUBSTITUTE(bittrex[[#This Row],[Column1.MarketName]],"-","")))</f>
        <v>btcsafex</v>
      </c>
      <c r="P141" s="35">
        <f>bittrex[[#This Row],[Column1.Last]]</f>
        <v>2.3599999999999999E-6</v>
      </c>
    </row>
    <row r="142" spans="1:16">
      <c r="A142" t="s">
        <v>678</v>
      </c>
      <c r="B142">
        <v>2.3207999999999999E-4</v>
      </c>
      <c r="C142">
        <v>2.1034999999999999E-4</v>
      </c>
      <c r="D142">
        <v>58383.314684949997</v>
      </c>
      <c r="E142">
        <v>2.2111E-4</v>
      </c>
      <c r="F142">
        <v>12.957664169999999</v>
      </c>
      <c r="G142" t="s">
        <v>1389</v>
      </c>
      <c r="H142">
        <v>2.2086E-4</v>
      </c>
      <c r="I142">
        <v>2.2562E-4</v>
      </c>
      <c r="J142">
        <v>172</v>
      </c>
      <c r="K142">
        <v>1785</v>
      </c>
      <c r="L142">
        <v>2.1749000000000001E-4</v>
      </c>
      <c r="M142" t="s">
        <v>679</v>
      </c>
      <c r="N142" s="29" t="str">
        <f>LOWER(CONCATENATE("bittrex:",SUBSTITUTE(bittrex[[#This Row],[Column1.MarketName]],"-","")))</f>
        <v>bittrex:btcsbd</v>
      </c>
      <c r="O142" s="26" t="str">
        <f>LOWER(CONCATENATE(SUBSTITUTE(bittrex[[#This Row],[Column1.MarketName]],"-","")))</f>
        <v>btcsbd</v>
      </c>
      <c r="P142" s="35">
        <f>bittrex[[#This Row],[Column1.Last]]</f>
        <v>2.2111E-4</v>
      </c>
    </row>
    <row r="143" spans="1:16">
      <c r="A143" t="s">
        <v>680</v>
      </c>
      <c r="B143">
        <v>1.75E-6</v>
      </c>
      <c r="C143">
        <v>1.64E-6</v>
      </c>
      <c r="D143">
        <v>187702506.32641551</v>
      </c>
      <c r="E143">
        <v>1.68E-6</v>
      </c>
      <c r="F143">
        <v>316.82130670999999</v>
      </c>
      <c r="G143" t="s">
        <v>1390</v>
      </c>
      <c r="H143">
        <v>1.68E-6</v>
      </c>
      <c r="I143">
        <v>1.6899999999999999E-6</v>
      </c>
      <c r="J143">
        <v>1792</v>
      </c>
      <c r="K143">
        <v>21707</v>
      </c>
      <c r="L143">
        <v>1.7400000000000001E-6</v>
      </c>
      <c r="M143" t="s">
        <v>681</v>
      </c>
      <c r="N143" s="29" t="str">
        <f>LOWER(CONCATENATE("bittrex:",SUBSTITUTE(bittrex[[#This Row],[Column1.MarketName]],"-","")))</f>
        <v>bittrex:btcsc</v>
      </c>
      <c r="O143" s="26" t="str">
        <f>LOWER(CONCATENATE(SUBSTITUTE(bittrex[[#This Row],[Column1.MarketName]],"-","")))</f>
        <v>btcsc</v>
      </c>
      <c r="P143" s="35">
        <f>bittrex[[#This Row],[Column1.Last]]</f>
        <v>1.68E-6</v>
      </c>
    </row>
    <row r="144" spans="1:16">
      <c r="A144" t="s">
        <v>682</v>
      </c>
      <c r="B144">
        <v>3.799E-5</v>
      </c>
      <c r="C144">
        <v>3.4010000000000001E-5</v>
      </c>
      <c r="D144">
        <v>89927.005382550007</v>
      </c>
      <c r="E144">
        <v>3.4020000000000003E-5</v>
      </c>
      <c r="F144">
        <v>3.1780463299999999</v>
      </c>
      <c r="G144" t="s">
        <v>1391</v>
      </c>
      <c r="H144">
        <v>3.4050000000000001E-5</v>
      </c>
      <c r="I144">
        <v>3.4610000000000002E-5</v>
      </c>
      <c r="J144">
        <v>242</v>
      </c>
      <c r="K144">
        <v>981</v>
      </c>
      <c r="L144">
        <v>3.5200000000000002E-5</v>
      </c>
      <c r="M144" t="s">
        <v>683</v>
      </c>
      <c r="N144" s="29" t="str">
        <f>LOWER(CONCATENATE("bittrex:",SUBSTITUTE(bittrex[[#This Row],[Column1.MarketName]],"-","")))</f>
        <v>bittrex:btcseq</v>
      </c>
      <c r="O144" s="26" t="str">
        <f>LOWER(CONCATENATE(SUBSTITUTE(bittrex[[#This Row],[Column1.MarketName]],"-","")))</f>
        <v>btcseq</v>
      </c>
      <c r="P144" s="35">
        <f>bittrex[[#This Row],[Column1.Last]]</f>
        <v>3.4020000000000003E-5</v>
      </c>
    </row>
    <row r="145" spans="1:16">
      <c r="A145" t="s">
        <v>684</v>
      </c>
      <c r="B145">
        <v>3.6825999999999997E-4</v>
      </c>
      <c r="C145">
        <v>3.165E-4</v>
      </c>
      <c r="D145">
        <v>175793.73400071001</v>
      </c>
      <c r="E145">
        <v>3.2620000000000001E-4</v>
      </c>
      <c r="F145">
        <v>58.387694889999999</v>
      </c>
      <c r="G145" t="s">
        <v>1274</v>
      </c>
      <c r="H145">
        <v>3.2629000000000002E-4</v>
      </c>
      <c r="I145">
        <v>3.3344000000000001E-4</v>
      </c>
      <c r="J145">
        <v>351</v>
      </c>
      <c r="K145">
        <v>1789</v>
      </c>
      <c r="L145">
        <v>3.3618E-4</v>
      </c>
      <c r="M145" t="s">
        <v>685</v>
      </c>
      <c r="N145" s="29" t="str">
        <f>LOWER(CONCATENATE("bittrex:",SUBSTITUTE(bittrex[[#This Row],[Column1.MarketName]],"-","")))</f>
        <v>bittrex:btcshift</v>
      </c>
      <c r="O145" s="26" t="str">
        <f>LOWER(CONCATENATE(SUBSTITUTE(bittrex[[#This Row],[Column1.MarketName]],"-","")))</f>
        <v>btcshift</v>
      </c>
      <c r="P145" s="35">
        <f>bittrex[[#This Row],[Column1.Last]]</f>
        <v>3.2620000000000001E-4</v>
      </c>
    </row>
    <row r="146" spans="1:16">
      <c r="A146" t="s">
        <v>686</v>
      </c>
      <c r="B146">
        <v>2.9995E-4</v>
      </c>
      <c r="C146">
        <v>2.5099999999999998E-4</v>
      </c>
      <c r="D146">
        <v>150043.95136194001</v>
      </c>
      <c r="E146">
        <v>2.6342999999999999E-4</v>
      </c>
      <c r="F146">
        <v>40.967576340000001</v>
      </c>
      <c r="G146" t="s">
        <v>1392</v>
      </c>
      <c r="H146">
        <v>2.6113999999999998E-4</v>
      </c>
      <c r="I146">
        <v>2.6344999999999998E-4</v>
      </c>
      <c r="J146">
        <v>307</v>
      </c>
      <c r="K146">
        <v>2103</v>
      </c>
      <c r="L146">
        <v>2.9799999999999998E-4</v>
      </c>
      <c r="M146" t="s">
        <v>687</v>
      </c>
      <c r="N146" s="29" t="str">
        <f>LOWER(CONCATENATE("bittrex:",SUBSTITUTE(bittrex[[#This Row],[Column1.MarketName]],"-","")))</f>
        <v>bittrex:btcsib</v>
      </c>
      <c r="O146" s="26" t="str">
        <f>LOWER(CONCATENATE(SUBSTITUTE(bittrex[[#This Row],[Column1.MarketName]],"-","")))</f>
        <v>btcsib</v>
      </c>
      <c r="P146" s="35">
        <f>bittrex[[#This Row],[Column1.Last]]</f>
        <v>2.6342999999999999E-4</v>
      </c>
    </row>
    <row r="147" spans="1:16">
      <c r="A147" t="s">
        <v>688</v>
      </c>
      <c r="B147">
        <v>4.4169999999999999E-5</v>
      </c>
      <c r="C147">
        <v>4.057E-5</v>
      </c>
      <c r="D147">
        <v>90472.416608979998</v>
      </c>
      <c r="E147">
        <v>4.1879999999999999E-5</v>
      </c>
      <c r="F147">
        <v>3.8209441399999999</v>
      </c>
      <c r="G147" t="s">
        <v>1393</v>
      </c>
      <c r="H147">
        <v>4.1E-5</v>
      </c>
      <c r="I147">
        <v>4.1699999999999997E-5</v>
      </c>
      <c r="J147">
        <v>181</v>
      </c>
      <c r="K147">
        <v>1962</v>
      </c>
      <c r="L147">
        <v>4.2969999999999997E-5</v>
      </c>
      <c r="M147" t="s">
        <v>689</v>
      </c>
      <c r="N147" s="29" t="str">
        <f>LOWER(CONCATENATE("bittrex:",SUBSTITUTE(bittrex[[#This Row],[Column1.MarketName]],"-","")))</f>
        <v>bittrex:btcslr</v>
      </c>
      <c r="O147" s="26" t="str">
        <f>LOWER(CONCATENATE(SUBSTITUTE(bittrex[[#This Row],[Column1.MarketName]],"-","")))</f>
        <v>btcslr</v>
      </c>
      <c r="P147" s="35">
        <f>bittrex[[#This Row],[Column1.Last]]</f>
        <v>4.1879999999999999E-5</v>
      </c>
    </row>
    <row r="148" spans="1:16">
      <c r="A148" t="s">
        <v>690</v>
      </c>
      <c r="B148">
        <v>3.59764E-3</v>
      </c>
      <c r="C148">
        <v>3.4500199999999998E-3</v>
      </c>
      <c r="D148">
        <v>181.19603380000001</v>
      </c>
      <c r="E148">
        <v>3.45014E-3</v>
      </c>
      <c r="F148">
        <v>0.63719868000000002</v>
      </c>
      <c r="G148" t="s">
        <v>1394</v>
      </c>
      <c r="H148">
        <v>3.4845200000000001E-3</v>
      </c>
      <c r="I148">
        <v>3.52717E-3</v>
      </c>
      <c r="J148">
        <v>186</v>
      </c>
      <c r="K148">
        <v>1101</v>
      </c>
      <c r="L148">
        <v>3.53419E-3</v>
      </c>
      <c r="M148" t="s">
        <v>691</v>
      </c>
      <c r="N148" s="29" t="str">
        <f>LOWER(CONCATENATE("bittrex:",SUBSTITUTE(bittrex[[#This Row],[Column1.MarketName]],"-","")))</f>
        <v>bittrex:btcsls</v>
      </c>
      <c r="O148" s="26" t="str">
        <f>LOWER(CONCATENATE(SUBSTITUTE(bittrex[[#This Row],[Column1.MarketName]],"-","")))</f>
        <v>btcsls</v>
      </c>
      <c r="P148" s="35">
        <f>bittrex[[#This Row],[Column1.Last]]</f>
        <v>3.45014E-3</v>
      </c>
    </row>
    <row r="149" spans="1:16">
      <c r="A149" t="s">
        <v>692</v>
      </c>
      <c r="B149">
        <v>3.2990000000000001E-5</v>
      </c>
      <c r="C149">
        <v>2.9989999999999999E-5</v>
      </c>
      <c r="D149">
        <v>1303216.66819928</v>
      </c>
      <c r="E149">
        <v>3.0929999999999997E-5</v>
      </c>
      <c r="F149">
        <v>40.633814049999998</v>
      </c>
      <c r="G149" t="s">
        <v>1395</v>
      </c>
      <c r="H149">
        <v>3.0929999999999997E-5</v>
      </c>
      <c r="I149">
        <v>3.0939999999999999E-5</v>
      </c>
      <c r="J149">
        <v>228</v>
      </c>
      <c r="K149">
        <v>2112</v>
      </c>
      <c r="L149">
        <v>3.1989999999999997E-5</v>
      </c>
      <c r="M149" t="s">
        <v>693</v>
      </c>
      <c r="N149" s="29" t="str">
        <f>LOWER(CONCATENATE("bittrex:",SUBSTITUTE(bittrex[[#This Row],[Column1.MarketName]],"-","")))</f>
        <v>bittrex:btcsngls</v>
      </c>
      <c r="O149" s="26" t="str">
        <f>LOWER(CONCATENATE(SUBSTITUTE(bittrex[[#This Row],[Column1.MarketName]],"-","")))</f>
        <v>btcsngls</v>
      </c>
      <c r="P149" s="35">
        <f>bittrex[[#This Row],[Column1.Last]]</f>
        <v>3.0929999999999997E-5</v>
      </c>
    </row>
    <row r="150" spans="1:16">
      <c r="A150" t="s">
        <v>694</v>
      </c>
      <c r="B150">
        <v>3.4819000000000001E-4</v>
      </c>
      <c r="C150">
        <v>3.2000000000000003E-4</v>
      </c>
      <c r="D150">
        <v>19401.597315930001</v>
      </c>
      <c r="E150">
        <v>3.2578000000000001E-4</v>
      </c>
      <c r="F150">
        <v>6.4671829799999996</v>
      </c>
      <c r="G150" t="s">
        <v>1396</v>
      </c>
      <c r="H150">
        <v>3.2578000000000001E-4</v>
      </c>
      <c r="I150">
        <v>3.2730999999999998E-4</v>
      </c>
      <c r="J150">
        <v>247</v>
      </c>
      <c r="K150">
        <v>1764</v>
      </c>
      <c r="L150">
        <v>3.3600999999999998E-4</v>
      </c>
      <c r="M150" t="s">
        <v>695</v>
      </c>
      <c r="N150" s="29" t="str">
        <f>LOWER(CONCATENATE("bittrex:",SUBSTITUTE(bittrex[[#This Row],[Column1.MarketName]],"-","")))</f>
        <v>bittrex:btcsnrg</v>
      </c>
      <c r="O150" s="26" t="str">
        <f>LOWER(CONCATENATE(SUBSTITUTE(bittrex[[#This Row],[Column1.MarketName]],"-","")))</f>
        <v>btcsnrg</v>
      </c>
      <c r="P150" s="35">
        <f>bittrex[[#This Row],[Column1.Last]]</f>
        <v>3.2578000000000001E-4</v>
      </c>
    </row>
    <row r="151" spans="1:16">
      <c r="A151" t="s">
        <v>696</v>
      </c>
      <c r="B151">
        <v>8.7900000000000005E-6</v>
      </c>
      <c r="C151">
        <v>7.7200000000000006E-6</v>
      </c>
      <c r="D151">
        <v>81932759.735160932</v>
      </c>
      <c r="E151">
        <v>7.9100000000000005E-6</v>
      </c>
      <c r="F151">
        <v>672.96382091999999</v>
      </c>
      <c r="G151" t="s">
        <v>1397</v>
      </c>
      <c r="H151">
        <v>7.9100000000000005E-6</v>
      </c>
      <c r="I151">
        <v>7.9200000000000004E-6</v>
      </c>
      <c r="J151">
        <v>870</v>
      </c>
      <c r="K151">
        <v>11975</v>
      </c>
      <c r="L151">
        <v>8.6100000000000006E-6</v>
      </c>
      <c r="M151" t="s">
        <v>697</v>
      </c>
      <c r="N151" s="29" t="str">
        <f>LOWER(CONCATENATE("bittrex:",SUBSTITUTE(bittrex[[#This Row],[Column1.MarketName]],"-","")))</f>
        <v>bittrex:btcsnt</v>
      </c>
      <c r="O151" s="26" t="str">
        <f>LOWER(CONCATENATE(SUBSTITUTE(bittrex[[#This Row],[Column1.MarketName]],"-","")))</f>
        <v>btcsnt</v>
      </c>
      <c r="P151" s="35">
        <f>bittrex[[#This Row],[Column1.Last]]</f>
        <v>7.9100000000000005E-6</v>
      </c>
    </row>
    <row r="152" spans="1:16">
      <c r="A152" t="s">
        <v>698</v>
      </c>
      <c r="B152">
        <v>6.78E-4</v>
      </c>
      <c r="C152">
        <v>6.4210999999999999E-4</v>
      </c>
      <c r="D152">
        <v>2431.7348139000001</v>
      </c>
      <c r="E152">
        <v>6.4999999999999997E-4</v>
      </c>
      <c r="F152">
        <v>1.6072758300000001</v>
      </c>
      <c r="G152" t="s">
        <v>1398</v>
      </c>
      <c r="H152">
        <v>6.5001000000000002E-4</v>
      </c>
      <c r="I152">
        <v>6.5525999999999996E-4</v>
      </c>
      <c r="J152">
        <v>182</v>
      </c>
      <c r="K152">
        <v>955</v>
      </c>
      <c r="L152">
        <v>6.7699999999999998E-4</v>
      </c>
      <c r="M152" t="s">
        <v>699</v>
      </c>
      <c r="N152" s="29" t="str">
        <f>LOWER(CONCATENATE("bittrex:",SUBSTITUTE(bittrex[[#This Row],[Column1.MarketName]],"-","")))</f>
        <v>bittrex:btcsphr</v>
      </c>
      <c r="O152" s="26" t="str">
        <f>LOWER(CONCATENATE(SUBSTITUTE(bittrex[[#This Row],[Column1.MarketName]],"-","")))</f>
        <v>btcsphr</v>
      </c>
      <c r="P152" s="35">
        <f>bittrex[[#This Row],[Column1.Last]]</f>
        <v>6.4999999999999997E-4</v>
      </c>
    </row>
    <row r="153" spans="1:16">
      <c r="A153" t="s">
        <v>700</v>
      </c>
      <c r="B153">
        <v>4.9965999999999997E-4</v>
      </c>
      <c r="C153">
        <v>4.0999999999999999E-4</v>
      </c>
      <c r="D153">
        <v>46877.612960010003</v>
      </c>
      <c r="E153">
        <v>4.2499999999999998E-4</v>
      </c>
      <c r="F153">
        <v>21.17302355</v>
      </c>
      <c r="G153" t="s">
        <v>1399</v>
      </c>
      <c r="H153">
        <v>4.3001999999999998E-4</v>
      </c>
      <c r="I153">
        <v>4.3173000000000002E-4</v>
      </c>
      <c r="J153">
        <v>364</v>
      </c>
      <c r="K153">
        <v>994</v>
      </c>
      <c r="L153">
        <v>4.2733000000000002E-4</v>
      </c>
      <c r="M153" t="s">
        <v>701</v>
      </c>
      <c r="N153" s="29" t="str">
        <f>LOWER(CONCATENATE("bittrex:",SUBSTITUTE(bittrex[[#This Row],[Column1.MarketName]],"-","")))</f>
        <v>bittrex:btcspr</v>
      </c>
      <c r="O153" s="26" t="str">
        <f>LOWER(CONCATENATE(SUBSTITUTE(bittrex[[#This Row],[Column1.MarketName]],"-","")))</f>
        <v>btcspr</v>
      </c>
      <c r="P153" s="35">
        <f>bittrex[[#This Row],[Column1.Last]]</f>
        <v>4.2499999999999998E-4</v>
      </c>
    </row>
    <row r="154" spans="1:16">
      <c r="A154" t="s">
        <v>702</v>
      </c>
      <c r="B154">
        <v>9.5799999999999998E-6</v>
      </c>
      <c r="C154">
        <v>9.2E-6</v>
      </c>
      <c r="D154">
        <v>321820.30226319999</v>
      </c>
      <c r="E154">
        <v>9.3000000000000007E-6</v>
      </c>
      <c r="F154">
        <v>3.0247116100000002</v>
      </c>
      <c r="G154" t="s">
        <v>1400</v>
      </c>
      <c r="H154">
        <v>9.3100000000000006E-6</v>
      </c>
      <c r="I154">
        <v>9.3999999999999998E-6</v>
      </c>
      <c r="J154">
        <v>373</v>
      </c>
      <c r="K154">
        <v>5081</v>
      </c>
      <c r="L154">
        <v>9.4399999999999994E-6</v>
      </c>
      <c r="M154" t="s">
        <v>703</v>
      </c>
      <c r="N154" s="29" t="str">
        <f>LOWER(CONCATENATE("bittrex:",SUBSTITUTE(bittrex[[#This Row],[Column1.MarketName]],"-","")))</f>
        <v>bittrex:btcstart</v>
      </c>
      <c r="O154" s="26" t="str">
        <f>LOWER(CONCATENATE(SUBSTITUTE(bittrex[[#This Row],[Column1.MarketName]],"-","")))</f>
        <v>btcstart</v>
      </c>
      <c r="P154" s="35">
        <f>bittrex[[#This Row],[Column1.Last]]</f>
        <v>9.3000000000000007E-6</v>
      </c>
    </row>
    <row r="155" spans="1:16">
      <c r="A155" t="s">
        <v>704</v>
      </c>
      <c r="B155">
        <v>3.7165000000000001E-4</v>
      </c>
      <c r="C155">
        <v>3.3500000000000001E-4</v>
      </c>
      <c r="D155">
        <v>906397.83088606002</v>
      </c>
      <c r="E155">
        <v>3.3958000000000003E-4</v>
      </c>
      <c r="F155">
        <v>318.26248987999998</v>
      </c>
      <c r="G155" t="s">
        <v>1401</v>
      </c>
      <c r="H155">
        <v>3.3958000000000003E-4</v>
      </c>
      <c r="I155">
        <v>3.4058999999999999E-4</v>
      </c>
      <c r="J155">
        <v>775</v>
      </c>
      <c r="K155">
        <v>5378</v>
      </c>
      <c r="L155">
        <v>3.4015E-4</v>
      </c>
      <c r="M155" t="s">
        <v>705</v>
      </c>
      <c r="N155" s="29" t="str">
        <f>LOWER(CONCATENATE("bittrex:",SUBSTITUTE(bittrex[[#This Row],[Column1.MarketName]],"-","")))</f>
        <v>bittrex:btcsteem</v>
      </c>
      <c r="O155" s="26" t="str">
        <f>LOWER(CONCATENATE(SUBSTITUTE(bittrex[[#This Row],[Column1.MarketName]],"-","")))</f>
        <v>btcsteem</v>
      </c>
      <c r="P155" s="35">
        <f>bittrex[[#This Row],[Column1.Last]]</f>
        <v>3.3958000000000003E-4</v>
      </c>
    </row>
    <row r="156" spans="1:16">
      <c r="A156" t="s">
        <v>706</v>
      </c>
      <c r="B156">
        <v>1.6859000000000001E-4</v>
      </c>
      <c r="C156">
        <v>1.2751E-4</v>
      </c>
      <c r="D156">
        <v>2625898.5681074099</v>
      </c>
      <c r="E156">
        <v>1.4771000000000001E-4</v>
      </c>
      <c r="F156">
        <v>384.5114825</v>
      </c>
      <c r="G156" t="s">
        <v>1402</v>
      </c>
      <c r="H156">
        <v>1.4645000000000001E-4</v>
      </c>
      <c r="I156">
        <v>1.4771000000000001E-4</v>
      </c>
      <c r="J156">
        <v>554</v>
      </c>
      <c r="K156">
        <v>4968</v>
      </c>
      <c r="L156">
        <v>1.3083999999999999E-4</v>
      </c>
      <c r="M156" t="s">
        <v>707</v>
      </c>
      <c r="N156" s="29" t="str">
        <f>LOWER(CONCATENATE("bittrex:",SUBSTITUTE(bittrex[[#This Row],[Column1.MarketName]],"-","")))</f>
        <v>bittrex:btcstorj</v>
      </c>
      <c r="O156" s="26" t="str">
        <f>LOWER(CONCATENATE(SUBSTITUTE(bittrex[[#This Row],[Column1.MarketName]],"-","")))</f>
        <v>btcstorj</v>
      </c>
      <c r="P156" s="35">
        <f>bittrex[[#This Row],[Column1.Last]]</f>
        <v>1.4771000000000001E-4</v>
      </c>
    </row>
    <row r="157" spans="1:16">
      <c r="A157" t="s">
        <v>708</v>
      </c>
      <c r="B157">
        <v>1.3868000000000001E-3</v>
      </c>
      <c r="C157">
        <v>1.2764499999999999E-3</v>
      </c>
      <c r="D157">
        <v>795559.17900170002</v>
      </c>
      <c r="E157">
        <v>1.364E-3</v>
      </c>
      <c r="F157">
        <v>1054.9147811</v>
      </c>
      <c r="G157" t="s">
        <v>1403</v>
      </c>
      <c r="H157">
        <v>1.364E-3</v>
      </c>
      <c r="I157">
        <v>1.36999E-3</v>
      </c>
      <c r="J157">
        <v>1656</v>
      </c>
      <c r="K157">
        <v>14947</v>
      </c>
      <c r="L157">
        <v>1.31851E-3</v>
      </c>
      <c r="M157" t="s">
        <v>709</v>
      </c>
      <c r="N157" s="29" t="str">
        <f>LOWER(CONCATENATE("bittrex:",SUBSTITUTE(bittrex[[#This Row],[Column1.MarketName]],"-","")))</f>
        <v>bittrex:btcstrat</v>
      </c>
      <c r="O157" s="26" t="str">
        <f>LOWER(CONCATENATE(SUBSTITUTE(bittrex[[#This Row],[Column1.MarketName]],"-","")))</f>
        <v>btcstrat</v>
      </c>
      <c r="P157" s="35">
        <f>bittrex[[#This Row],[Column1.Last]]</f>
        <v>1.364E-3</v>
      </c>
    </row>
    <row r="158" spans="1:16">
      <c r="A158" t="s">
        <v>710</v>
      </c>
      <c r="B158">
        <v>3.0749999999999999E-4</v>
      </c>
      <c r="C158">
        <v>2.8524000000000003E-4</v>
      </c>
      <c r="D158">
        <v>46801.707501570003</v>
      </c>
      <c r="E158">
        <v>2.9629999999999999E-4</v>
      </c>
      <c r="F158">
        <v>13.91383484</v>
      </c>
      <c r="G158" t="s">
        <v>1404</v>
      </c>
      <c r="H158">
        <v>2.9700000000000001E-4</v>
      </c>
      <c r="I158">
        <v>2.987E-4</v>
      </c>
      <c r="J158">
        <v>339</v>
      </c>
      <c r="K158">
        <v>1399</v>
      </c>
      <c r="L158">
        <v>2.9500000000000001E-4</v>
      </c>
      <c r="M158" t="s">
        <v>711</v>
      </c>
      <c r="N158" s="29" t="str">
        <f>LOWER(CONCATENATE("bittrex:",SUBSTITUTE(bittrex[[#This Row],[Column1.MarketName]],"-","")))</f>
        <v>bittrex:btcswift</v>
      </c>
      <c r="O158" s="26" t="str">
        <f>LOWER(CONCATENATE(SUBSTITUTE(bittrex[[#This Row],[Column1.MarketName]],"-","")))</f>
        <v>btcswift</v>
      </c>
      <c r="P158" s="35">
        <f>bittrex[[#This Row],[Column1.Last]]</f>
        <v>2.9629999999999999E-4</v>
      </c>
    </row>
    <row r="159" spans="1:16">
      <c r="A159" t="s">
        <v>712</v>
      </c>
      <c r="B159">
        <v>4.2999999999999999E-4</v>
      </c>
      <c r="C159">
        <v>3.7399999999999998E-4</v>
      </c>
      <c r="D159">
        <v>28225.968718640001</v>
      </c>
      <c r="E159">
        <v>4.0162999999999999E-4</v>
      </c>
      <c r="F159">
        <v>11.39160891</v>
      </c>
      <c r="G159" t="s">
        <v>1405</v>
      </c>
      <c r="H159">
        <v>4.1014000000000003E-4</v>
      </c>
      <c r="I159">
        <v>4.26E-4</v>
      </c>
      <c r="J159">
        <v>154</v>
      </c>
      <c r="K159">
        <v>1628</v>
      </c>
      <c r="L159">
        <v>4.2799E-4</v>
      </c>
      <c r="M159" t="s">
        <v>713</v>
      </c>
      <c r="N159" s="29" t="str">
        <f>LOWER(CONCATENATE("bittrex:",SUBSTITUTE(bittrex[[#This Row],[Column1.MarketName]],"-","")))</f>
        <v>bittrex:btcswt</v>
      </c>
      <c r="O159" s="26" t="str">
        <f>LOWER(CONCATENATE(SUBSTITUTE(bittrex[[#This Row],[Column1.MarketName]],"-","")))</f>
        <v>btcswt</v>
      </c>
      <c r="P159" s="35">
        <f>bittrex[[#This Row],[Column1.Last]]</f>
        <v>4.0162999999999999E-4</v>
      </c>
    </row>
    <row r="160" spans="1:16">
      <c r="A160" t="s">
        <v>714</v>
      </c>
      <c r="B160">
        <v>4.587E-5</v>
      </c>
      <c r="C160">
        <v>3.6399999999999997E-5</v>
      </c>
      <c r="D160">
        <v>1247858.4595116</v>
      </c>
      <c r="E160">
        <v>3.7880000000000003E-5</v>
      </c>
      <c r="F160">
        <v>51.275347330000002</v>
      </c>
      <c r="G160" t="s">
        <v>1406</v>
      </c>
      <c r="H160">
        <v>3.7910000000000001E-5</v>
      </c>
      <c r="I160">
        <v>3.8389999999999997E-5</v>
      </c>
      <c r="J160">
        <v>304</v>
      </c>
      <c r="K160">
        <v>2986</v>
      </c>
      <c r="L160">
        <v>3.6829999999999998E-5</v>
      </c>
      <c r="M160" t="s">
        <v>715</v>
      </c>
      <c r="N160" s="29" t="str">
        <f>LOWER(CONCATENATE("bittrex:",SUBSTITUTE(bittrex[[#This Row],[Column1.MarketName]],"-","")))</f>
        <v>bittrex:btcsynx</v>
      </c>
      <c r="O160" s="26" t="str">
        <f>LOWER(CONCATENATE(SUBSTITUTE(bittrex[[#This Row],[Column1.MarketName]],"-","")))</f>
        <v>btcsynx</v>
      </c>
      <c r="P160" s="35">
        <f>bittrex[[#This Row],[Column1.Last]]</f>
        <v>3.7880000000000003E-5</v>
      </c>
    </row>
    <row r="161" spans="1:16">
      <c r="A161" t="s">
        <v>716</v>
      </c>
      <c r="B161">
        <v>7.3380000000000006E-5</v>
      </c>
      <c r="C161">
        <v>5.8060000000000003E-5</v>
      </c>
      <c r="D161">
        <v>19851467.734588791</v>
      </c>
      <c r="E161">
        <v>6.9090000000000004E-5</v>
      </c>
      <c r="F161">
        <v>1316.21554477</v>
      </c>
      <c r="G161" t="s">
        <v>1316</v>
      </c>
      <c r="H161">
        <v>6.9090000000000004E-5</v>
      </c>
      <c r="I161">
        <v>6.9460000000000002E-5</v>
      </c>
      <c r="J161">
        <v>1180</v>
      </c>
      <c r="K161">
        <v>3239</v>
      </c>
      <c r="L161">
        <v>6.4259999999999998E-5</v>
      </c>
      <c r="M161" t="s">
        <v>717</v>
      </c>
      <c r="N161" s="29" t="str">
        <f>LOWER(CONCATENATE("bittrex:",SUBSTITUTE(bittrex[[#This Row],[Column1.MarketName]],"-","")))</f>
        <v>bittrex:btcsys</v>
      </c>
      <c r="O161" s="26" t="str">
        <f>LOWER(CONCATENATE(SUBSTITUTE(bittrex[[#This Row],[Column1.MarketName]],"-","")))</f>
        <v>btcsys</v>
      </c>
      <c r="P161" s="35">
        <f>bittrex[[#This Row],[Column1.Last]]</f>
        <v>6.9090000000000004E-5</v>
      </c>
    </row>
    <row r="162" spans="1:16">
      <c r="A162" t="s">
        <v>718</v>
      </c>
      <c r="B162">
        <v>2.3700000000000002E-6</v>
      </c>
      <c r="C162">
        <v>2.2800000000000002E-6</v>
      </c>
      <c r="D162">
        <v>2661181.68139156</v>
      </c>
      <c r="E162">
        <v>2.3700000000000002E-6</v>
      </c>
      <c r="F162">
        <v>6.21956753</v>
      </c>
      <c r="G162" t="s">
        <v>1407</v>
      </c>
      <c r="H162">
        <v>2.34E-6</v>
      </c>
      <c r="I162">
        <v>2.3599999999999999E-6</v>
      </c>
      <c r="J162">
        <v>459</v>
      </c>
      <c r="K162">
        <v>3153</v>
      </c>
      <c r="L162">
        <v>2.3499999999999999E-6</v>
      </c>
      <c r="M162" t="s">
        <v>719</v>
      </c>
      <c r="N162" s="29" t="str">
        <f>LOWER(CONCATENATE("bittrex:",SUBSTITUTE(bittrex[[#This Row],[Column1.MarketName]],"-","")))</f>
        <v>bittrex:btcthc</v>
      </c>
      <c r="O162" s="26" t="str">
        <f>LOWER(CONCATENATE(SUBSTITUTE(bittrex[[#This Row],[Column1.MarketName]],"-","")))</f>
        <v>btcthc</v>
      </c>
      <c r="P162" s="35">
        <f>bittrex[[#This Row],[Column1.Last]]</f>
        <v>2.3700000000000002E-6</v>
      </c>
    </row>
    <row r="163" spans="1:16">
      <c r="A163" t="s">
        <v>720</v>
      </c>
      <c r="B163">
        <v>5.1241200000000002E-3</v>
      </c>
      <c r="C163">
        <v>4.7606699999999998E-3</v>
      </c>
      <c r="D163">
        <v>5337.0580800799999</v>
      </c>
      <c r="E163">
        <v>4.7606699999999998E-3</v>
      </c>
      <c r="F163">
        <v>26.38722636</v>
      </c>
      <c r="G163" t="s">
        <v>1408</v>
      </c>
      <c r="H163">
        <v>4.8100599999999997E-3</v>
      </c>
      <c r="I163">
        <v>4.89998E-3</v>
      </c>
      <c r="J163">
        <v>146</v>
      </c>
      <c r="K163">
        <v>1645</v>
      </c>
      <c r="L163">
        <v>4.8999999999999998E-3</v>
      </c>
      <c r="M163" t="s">
        <v>721</v>
      </c>
      <c r="N163" s="29" t="str">
        <f>LOWER(CONCATENATE("bittrex:",SUBSTITUTE(bittrex[[#This Row],[Column1.MarketName]],"-","")))</f>
        <v>bittrex:btctime</v>
      </c>
      <c r="O163" s="26" t="str">
        <f>LOWER(CONCATENATE(SUBSTITUTE(bittrex[[#This Row],[Column1.MarketName]],"-","")))</f>
        <v>btctime</v>
      </c>
      <c r="P163" s="35">
        <f>bittrex[[#This Row],[Column1.Last]]</f>
        <v>4.7606699999999998E-3</v>
      </c>
    </row>
    <row r="164" spans="1:16">
      <c r="A164" t="s">
        <v>722</v>
      </c>
      <c r="B164">
        <v>3.8521999999999997E-4</v>
      </c>
      <c r="C164">
        <v>3.3144000000000001E-4</v>
      </c>
      <c r="D164">
        <v>473874.47428122</v>
      </c>
      <c r="E164">
        <v>3.6502000000000003E-4</v>
      </c>
      <c r="F164">
        <v>168.29612874</v>
      </c>
      <c r="G164" t="s">
        <v>1409</v>
      </c>
      <c r="H164">
        <v>3.6502000000000003E-4</v>
      </c>
      <c r="I164">
        <v>3.6970999999999998E-4</v>
      </c>
      <c r="J164">
        <v>440</v>
      </c>
      <c r="K164">
        <v>2827</v>
      </c>
      <c r="L164">
        <v>3.6998000000000001E-4</v>
      </c>
      <c r="M164" t="s">
        <v>723</v>
      </c>
      <c r="N164" s="29" t="str">
        <f>LOWER(CONCATENATE("bittrex:",SUBSTITUTE(bittrex[[#This Row],[Column1.MarketName]],"-","")))</f>
        <v>bittrex:btctkn</v>
      </c>
      <c r="O164" s="26" t="str">
        <f>LOWER(CONCATENATE(SUBSTITUTE(bittrex[[#This Row],[Column1.MarketName]],"-","")))</f>
        <v>btctkn</v>
      </c>
      <c r="P164" s="35">
        <f>bittrex[[#This Row],[Column1.Last]]</f>
        <v>3.6502000000000003E-4</v>
      </c>
    </row>
    <row r="165" spans="1:16">
      <c r="A165" t="s">
        <v>724</v>
      </c>
      <c r="B165">
        <v>5.0069000000000003E-4</v>
      </c>
      <c r="C165">
        <v>4.5763999999999999E-4</v>
      </c>
      <c r="D165">
        <v>9794.0192652000005</v>
      </c>
      <c r="E165">
        <v>4.6001000000000001E-4</v>
      </c>
      <c r="F165">
        <v>4.6274263400000004</v>
      </c>
      <c r="G165" t="s">
        <v>1410</v>
      </c>
      <c r="H165">
        <v>4.6001000000000001E-4</v>
      </c>
      <c r="I165">
        <v>4.7237000000000001E-4</v>
      </c>
      <c r="J165">
        <v>155</v>
      </c>
      <c r="K165">
        <v>945</v>
      </c>
      <c r="L165">
        <v>5.0069000000000003E-4</v>
      </c>
      <c r="M165" t="s">
        <v>725</v>
      </c>
      <c r="N165" s="29" t="str">
        <f>LOWER(CONCATENATE("bittrex:",SUBSTITUTE(bittrex[[#This Row],[Column1.MarketName]],"-","")))</f>
        <v>bittrex:btctks</v>
      </c>
      <c r="O165" s="26" t="str">
        <f>LOWER(CONCATENATE(SUBSTITUTE(bittrex[[#This Row],[Column1.MarketName]],"-","")))</f>
        <v>btctks</v>
      </c>
      <c r="P165" s="35">
        <f>bittrex[[#This Row],[Column1.Last]]</f>
        <v>4.6001000000000001E-4</v>
      </c>
    </row>
    <row r="166" spans="1:16">
      <c r="A166" t="s">
        <v>726</v>
      </c>
      <c r="B166">
        <v>2.9779999999999997E-4</v>
      </c>
      <c r="C166">
        <v>2.0225000000000001E-4</v>
      </c>
      <c r="D166">
        <v>5695536.6417124802</v>
      </c>
      <c r="E166">
        <v>2.7179999999999999E-4</v>
      </c>
      <c r="F166">
        <v>1459.38482393</v>
      </c>
      <c r="G166" t="s">
        <v>1294</v>
      </c>
      <c r="H166">
        <v>2.7179999999999999E-4</v>
      </c>
      <c r="I166">
        <v>2.7233999999999998E-4</v>
      </c>
      <c r="J166">
        <v>836</v>
      </c>
      <c r="K166">
        <v>1224</v>
      </c>
      <c r="L166">
        <v>2.1110000000000001E-4</v>
      </c>
      <c r="M166" t="s">
        <v>727</v>
      </c>
      <c r="N166" s="29" t="str">
        <f>LOWER(CONCATENATE("bittrex:",SUBSTITUTE(bittrex[[#This Row],[Column1.MarketName]],"-","")))</f>
        <v>bittrex:btctrig</v>
      </c>
      <c r="O166" s="26" t="str">
        <f>LOWER(CONCATENATE(SUBSTITUTE(bittrex[[#This Row],[Column1.MarketName]],"-","")))</f>
        <v>btctrig</v>
      </c>
      <c r="P166" s="35">
        <f>bittrex[[#This Row],[Column1.Last]]</f>
        <v>2.7179999999999999E-4</v>
      </c>
    </row>
    <row r="167" spans="1:16">
      <c r="A167" t="s">
        <v>728</v>
      </c>
      <c r="B167">
        <v>6.4999999999999994E-5</v>
      </c>
      <c r="C167">
        <v>6.1249999999999998E-5</v>
      </c>
      <c r="D167">
        <v>654204.52689061</v>
      </c>
      <c r="E167">
        <v>6.2990000000000005E-5</v>
      </c>
      <c r="F167">
        <v>41.045113579999999</v>
      </c>
      <c r="G167" t="s">
        <v>1411</v>
      </c>
      <c r="H167">
        <v>6.2520000000000004E-5</v>
      </c>
      <c r="I167">
        <v>6.2990000000000005E-5</v>
      </c>
      <c r="J167">
        <v>347</v>
      </c>
      <c r="K167">
        <v>2855</v>
      </c>
      <c r="L167">
        <v>6.232E-5</v>
      </c>
      <c r="M167" t="s">
        <v>729</v>
      </c>
      <c r="N167" s="29" t="str">
        <f>LOWER(CONCATENATE("bittrex:",SUBSTITUTE(bittrex[[#This Row],[Column1.MarketName]],"-","")))</f>
        <v>bittrex:btctrst</v>
      </c>
      <c r="O167" s="26" t="str">
        <f>LOWER(CONCATENATE(SUBSTITUTE(bittrex[[#This Row],[Column1.MarketName]],"-","")))</f>
        <v>btctrst</v>
      </c>
      <c r="P167" s="35">
        <f>bittrex[[#This Row],[Column1.Last]]</f>
        <v>6.2990000000000005E-5</v>
      </c>
    </row>
    <row r="168" spans="1:16">
      <c r="A168" t="s">
        <v>730</v>
      </c>
      <c r="B168">
        <v>1.3499999999999999E-5</v>
      </c>
      <c r="C168">
        <v>1.2510000000000001E-5</v>
      </c>
      <c r="D168">
        <v>570754.70710129</v>
      </c>
      <c r="E168">
        <v>1.2670000000000001E-5</v>
      </c>
      <c r="F168">
        <v>7.4392979400000003</v>
      </c>
      <c r="G168" t="s">
        <v>1412</v>
      </c>
      <c r="H168">
        <v>1.2670000000000001E-5</v>
      </c>
      <c r="I168">
        <v>1.275E-5</v>
      </c>
      <c r="J168">
        <v>226</v>
      </c>
      <c r="K168">
        <v>1732</v>
      </c>
      <c r="L168">
        <v>1.2680000000000001E-5</v>
      </c>
      <c r="M168" t="s">
        <v>731</v>
      </c>
      <c r="N168" s="29" t="str">
        <f>LOWER(CONCATENATE("bittrex:",SUBSTITUTE(bittrex[[#This Row],[Column1.MarketName]],"-","")))</f>
        <v>bittrex:btctrust</v>
      </c>
      <c r="O168" s="26" t="str">
        <f>LOWER(CONCATENATE(SUBSTITUTE(bittrex[[#This Row],[Column1.MarketName]],"-","")))</f>
        <v>btctrust</v>
      </c>
      <c r="P168" s="35">
        <f>bittrex[[#This Row],[Column1.Last]]</f>
        <v>1.2670000000000001E-5</v>
      </c>
    </row>
    <row r="169" spans="1:16">
      <c r="A169" t="s">
        <v>732</v>
      </c>
      <c r="B169">
        <v>9.6609999999999998E-5</v>
      </c>
      <c r="C169">
        <v>8.6030000000000001E-5</v>
      </c>
      <c r="D169">
        <v>100396.16291739</v>
      </c>
      <c r="E169">
        <v>8.7319999999999997E-5</v>
      </c>
      <c r="F169">
        <v>9.0117314200000003</v>
      </c>
      <c r="G169" t="s">
        <v>1413</v>
      </c>
      <c r="H169">
        <v>8.6810000000000004E-5</v>
      </c>
      <c r="I169">
        <v>8.8430000000000005E-5</v>
      </c>
      <c r="J169">
        <v>181</v>
      </c>
      <c r="K169">
        <v>1351</v>
      </c>
      <c r="L169">
        <v>9.1500000000000001E-5</v>
      </c>
      <c r="M169" t="s">
        <v>733</v>
      </c>
      <c r="N169" s="29" t="str">
        <f>LOWER(CONCATENATE("bittrex:",SUBSTITUTE(bittrex[[#This Row],[Column1.MarketName]],"-","")))</f>
        <v>bittrex:btctx</v>
      </c>
      <c r="O169" s="26" t="str">
        <f>LOWER(CONCATENATE(SUBSTITUTE(bittrex[[#This Row],[Column1.MarketName]],"-","")))</f>
        <v>btctx</v>
      </c>
      <c r="P169" s="35">
        <f>bittrex[[#This Row],[Column1.Last]]</f>
        <v>8.7319999999999997E-5</v>
      </c>
    </row>
    <row r="170" spans="1:16">
      <c r="A170" t="s">
        <v>734</v>
      </c>
      <c r="B170">
        <v>5.7700000000000004E-4</v>
      </c>
      <c r="C170">
        <v>4.8507999999999998E-4</v>
      </c>
      <c r="D170">
        <v>579988.14930362999</v>
      </c>
      <c r="E170">
        <v>5.3706999999999995E-4</v>
      </c>
      <c r="F170">
        <v>302.15169155000001</v>
      </c>
      <c r="G170" t="s">
        <v>1414</v>
      </c>
      <c r="H170">
        <v>5.3706999999999995E-4</v>
      </c>
      <c r="I170">
        <v>5.4222000000000005E-4</v>
      </c>
      <c r="J170">
        <v>1085</v>
      </c>
      <c r="K170">
        <v>4092</v>
      </c>
      <c r="L170">
        <v>5.2999999999999998E-4</v>
      </c>
      <c r="M170" t="s">
        <v>735</v>
      </c>
      <c r="N170" s="29" t="str">
        <f>LOWER(CONCATENATE("bittrex:",SUBSTITUTE(bittrex[[#This Row],[Column1.MarketName]],"-","")))</f>
        <v>bittrex:btcubq</v>
      </c>
      <c r="O170" s="26" t="str">
        <f>LOWER(CONCATENATE(SUBSTITUTE(bittrex[[#This Row],[Column1.MarketName]],"-","")))</f>
        <v>btcubq</v>
      </c>
      <c r="P170" s="35">
        <f>bittrex[[#This Row],[Column1.Last]]</f>
        <v>5.3706999999999995E-4</v>
      </c>
    </row>
    <row r="171" spans="1:16">
      <c r="A171" t="s">
        <v>736</v>
      </c>
      <c r="B171">
        <v>6.1589999999999998E-5</v>
      </c>
      <c r="C171">
        <v>5.5019999999999998E-5</v>
      </c>
      <c r="D171">
        <v>181804.95224987</v>
      </c>
      <c r="E171">
        <v>5.906E-5</v>
      </c>
      <c r="F171">
        <v>10.687560550000001</v>
      </c>
      <c r="G171" t="s">
        <v>1415</v>
      </c>
      <c r="H171">
        <v>5.9070000000000002E-5</v>
      </c>
      <c r="I171">
        <v>6.0430000000000002E-5</v>
      </c>
      <c r="J171">
        <v>198</v>
      </c>
      <c r="K171">
        <v>1557</v>
      </c>
      <c r="L171">
        <v>5.9759999999999997E-5</v>
      </c>
      <c r="M171" t="s">
        <v>737</v>
      </c>
      <c r="N171" s="29" t="str">
        <f>LOWER(CONCATENATE("bittrex:",SUBSTITUTE(bittrex[[#This Row],[Column1.MarketName]],"-","")))</f>
        <v>bittrex:btcunb</v>
      </c>
      <c r="O171" s="26" t="str">
        <f>LOWER(CONCATENATE(SUBSTITUTE(bittrex[[#This Row],[Column1.MarketName]],"-","")))</f>
        <v>btcunb</v>
      </c>
      <c r="P171" s="35">
        <f>bittrex[[#This Row],[Column1.Last]]</f>
        <v>5.906E-5</v>
      </c>
    </row>
    <row r="172" spans="1:16">
      <c r="A172" t="s">
        <v>738</v>
      </c>
      <c r="B172">
        <v>2.017391E-2</v>
      </c>
      <c r="C172">
        <v>1.9226549999999999E-2</v>
      </c>
      <c r="D172">
        <v>168.4976288</v>
      </c>
      <c r="E172">
        <v>1.9610800000000001E-2</v>
      </c>
      <c r="F172">
        <v>3.3349300199999998</v>
      </c>
      <c r="G172" t="s">
        <v>1416</v>
      </c>
      <c r="H172">
        <v>1.9612359999999999E-2</v>
      </c>
      <c r="I172">
        <v>2.0090690000000001E-2</v>
      </c>
      <c r="J172">
        <v>332</v>
      </c>
      <c r="K172">
        <v>1094</v>
      </c>
      <c r="L172">
        <v>1.9498339999999999E-2</v>
      </c>
      <c r="M172" t="s">
        <v>739</v>
      </c>
      <c r="N172" s="29" t="str">
        <f>LOWER(CONCATENATE("bittrex:",SUBSTITUTE(bittrex[[#This Row],[Column1.MarketName]],"-","")))</f>
        <v>bittrex:btcuno</v>
      </c>
      <c r="O172" s="26" t="str">
        <f>LOWER(CONCATENATE(SUBSTITUTE(bittrex[[#This Row],[Column1.MarketName]],"-","")))</f>
        <v>btcuno</v>
      </c>
      <c r="P172" s="35">
        <f>bittrex[[#This Row],[Column1.Last]]</f>
        <v>1.9610800000000001E-2</v>
      </c>
    </row>
    <row r="173" spans="1:16">
      <c r="A173" t="s">
        <v>740</v>
      </c>
      <c r="B173">
        <v>3.1500000000000001E-4</v>
      </c>
      <c r="C173">
        <v>2.8904000000000001E-4</v>
      </c>
      <c r="D173">
        <v>214970.97278730999</v>
      </c>
      <c r="E173">
        <v>2.9777999999999998E-4</v>
      </c>
      <c r="F173">
        <v>64.095903070000006</v>
      </c>
      <c r="G173" t="s">
        <v>1404</v>
      </c>
      <c r="H173">
        <v>2.9435000000000003E-4</v>
      </c>
      <c r="I173">
        <v>2.9796E-4</v>
      </c>
      <c r="J173">
        <v>360</v>
      </c>
      <c r="K173">
        <v>2891</v>
      </c>
      <c r="L173">
        <v>3.0754000000000003E-4</v>
      </c>
      <c r="M173" t="s">
        <v>741</v>
      </c>
      <c r="N173" s="29" t="str">
        <f>LOWER(CONCATENATE("bittrex:",SUBSTITUTE(bittrex[[#This Row],[Column1.MarketName]],"-","")))</f>
        <v>bittrex:btcvia</v>
      </c>
      <c r="O173" s="26" t="str">
        <f>LOWER(CONCATENATE(SUBSTITUTE(bittrex[[#This Row],[Column1.MarketName]],"-","")))</f>
        <v>btcvia</v>
      </c>
      <c r="P173" s="35">
        <f>bittrex[[#This Row],[Column1.Last]]</f>
        <v>2.9777999999999998E-4</v>
      </c>
    </row>
    <row r="174" spans="1:16">
      <c r="A174" t="s">
        <v>742</v>
      </c>
      <c r="B174">
        <v>1.438E-5</v>
      </c>
      <c r="C174">
        <v>1.2E-5</v>
      </c>
      <c r="D174">
        <v>3402580.5783099099</v>
      </c>
      <c r="E174">
        <v>1.358E-5</v>
      </c>
      <c r="F174">
        <v>43.937824249999998</v>
      </c>
      <c r="G174" t="s">
        <v>1417</v>
      </c>
      <c r="H174">
        <v>1.36E-5</v>
      </c>
      <c r="I174">
        <v>1.38E-5</v>
      </c>
      <c r="J174">
        <v>393</v>
      </c>
      <c r="K174">
        <v>4835</v>
      </c>
      <c r="L174">
        <v>1.235E-5</v>
      </c>
      <c r="M174" t="s">
        <v>743</v>
      </c>
      <c r="N174" s="29" t="str">
        <f>LOWER(CONCATENATE("bittrex:",SUBSTITUTE(bittrex[[#This Row],[Column1.MarketName]],"-","")))</f>
        <v>bittrex:btcvox</v>
      </c>
      <c r="O174" s="26" t="str">
        <f>LOWER(CONCATENATE(SUBSTITUTE(bittrex[[#This Row],[Column1.MarketName]],"-","")))</f>
        <v>btcvox</v>
      </c>
      <c r="P174" s="35">
        <f>bittrex[[#This Row],[Column1.Last]]</f>
        <v>1.358E-5</v>
      </c>
    </row>
    <row r="175" spans="1:16">
      <c r="A175" t="s">
        <v>744</v>
      </c>
      <c r="B175">
        <v>9.3369999999999995E-5</v>
      </c>
      <c r="C175">
        <v>8.3410000000000003E-5</v>
      </c>
      <c r="D175">
        <v>822171.95005055994</v>
      </c>
      <c r="E175">
        <v>8.6929999999999996E-5</v>
      </c>
      <c r="F175">
        <v>72.789899509999998</v>
      </c>
      <c r="G175" t="s">
        <v>1418</v>
      </c>
      <c r="H175">
        <v>8.5340000000000006E-5</v>
      </c>
      <c r="I175">
        <v>8.6940000000000004E-5</v>
      </c>
      <c r="J175">
        <v>356</v>
      </c>
      <c r="K175">
        <v>1732</v>
      </c>
      <c r="L175">
        <v>9.1609999999999999E-5</v>
      </c>
      <c r="M175" t="s">
        <v>745</v>
      </c>
      <c r="N175" s="29" t="str">
        <f>LOWER(CONCATENATE("bittrex:",SUBSTITUTE(bittrex[[#This Row],[Column1.MarketName]],"-","")))</f>
        <v>bittrex:btcvrc</v>
      </c>
      <c r="O175" s="26" t="str">
        <f>LOWER(CONCATENATE(SUBSTITUTE(bittrex[[#This Row],[Column1.MarketName]],"-","")))</f>
        <v>btcvrc</v>
      </c>
      <c r="P175" s="35">
        <f>bittrex[[#This Row],[Column1.Last]]</f>
        <v>8.6929999999999996E-5</v>
      </c>
    </row>
    <row r="176" spans="1:16">
      <c r="A176" t="s">
        <v>746</v>
      </c>
      <c r="B176">
        <v>5.4082999999999996E-4</v>
      </c>
      <c r="C176">
        <v>4.9145999999999999E-4</v>
      </c>
      <c r="D176">
        <v>9723.3195608299993</v>
      </c>
      <c r="E176">
        <v>5.0073999999999995E-4</v>
      </c>
      <c r="F176">
        <v>4.9556552600000003</v>
      </c>
      <c r="G176" t="s">
        <v>1419</v>
      </c>
      <c r="H176">
        <v>5.0075E-4</v>
      </c>
      <c r="I176">
        <v>5.0500000000000002E-4</v>
      </c>
      <c r="J176">
        <v>256</v>
      </c>
      <c r="K176">
        <v>1715</v>
      </c>
      <c r="L176">
        <v>5.2161999999999998E-4</v>
      </c>
      <c r="M176" t="s">
        <v>747</v>
      </c>
      <c r="N176" s="29" t="str">
        <f>LOWER(CONCATENATE("bittrex:",SUBSTITUTE(bittrex[[#This Row],[Column1.MarketName]],"-","")))</f>
        <v>bittrex:btcvrm</v>
      </c>
      <c r="O176" s="26" t="str">
        <f>LOWER(CONCATENATE(SUBSTITUTE(bittrex[[#This Row],[Column1.MarketName]],"-","")))</f>
        <v>btcvrm</v>
      </c>
      <c r="P176" s="35">
        <f>bittrex[[#This Row],[Column1.Last]]</f>
        <v>5.0073999999999995E-4</v>
      </c>
    </row>
    <row r="177" spans="1:16">
      <c r="A177" t="s">
        <v>748</v>
      </c>
      <c r="B177">
        <v>2.1990000000000001E-4</v>
      </c>
      <c r="C177">
        <v>1.9527999999999999E-4</v>
      </c>
      <c r="D177">
        <v>856011.39023904002</v>
      </c>
      <c r="E177">
        <v>2.0746999999999999E-4</v>
      </c>
      <c r="F177">
        <v>178.76254764999999</v>
      </c>
      <c r="G177" t="s">
        <v>1409</v>
      </c>
      <c r="H177">
        <v>2.0746999999999999E-4</v>
      </c>
      <c r="I177">
        <v>2.0799999999999999E-4</v>
      </c>
      <c r="J177">
        <v>676</v>
      </c>
      <c r="K177">
        <v>3135</v>
      </c>
      <c r="L177">
        <v>2.1488E-4</v>
      </c>
      <c r="M177" t="s">
        <v>501</v>
      </c>
      <c r="N177" s="29" t="str">
        <f>LOWER(CONCATENATE("bittrex:",SUBSTITUTE(bittrex[[#This Row],[Column1.MarketName]],"-","")))</f>
        <v>bittrex:btcvtc</v>
      </c>
      <c r="O177" s="26" t="str">
        <f>LOWER(CONCATENATE(SUBSTITUTE(bittrex[[#This Row],[Column1.MarketName]],"-","")))</f>
        <v>btcvtc</v>
      </c>
      <c r="P177" s="35">
        <f>bittrex[[#This Row],[Column1.Last]]</f>
        <v>2.0746999999999999E-4</v>
      </c>
    </row>
    <row r="178" spans="1:16">
      <c r="A178" t="s">
        <v>749</v>
      </c>
      <c r="B178">
        <v>4.8090000000000002E-5</v>
      </c>
      <c r="C178">
        <v>4.2960000000000002E-5</v>
      </c>
      <c r="D178">
        <v>106537.79997338</v>
      </c>
      <c r="E178">
        <v>4.3600000000000003E-5</v>
      </c>
      <c r="F178">
        <v>4.6693366000000003</v>
      </c>
      <c r="G178" t="s">
        <v>1420</v>
      </c>
      <c r="H178">
        <v>4.3019999999999998E-5</v>
      </c>
      <c r="I178">
        <v>4.3600000000000003E-5</v>
      </c>
      <c r="J178">
        <v>210</v>
      </c>
      <c r="K178">
        <v>1690</v>
      </c>
      <c r="L178">
        <v>4.5349999999999998E-5</v>
      </c>
      <c r="M178" t="s">
        <v>750</v>
      </c>
      <c r="N178" s="29" t="str">
        <f>LOWER(CONCATENATE("bittrex:",SUBSTITUTE(bittrex[[#This Row],[Column1.MarketName]],"-","")))</f>
        <v>bittrex:btcvtr</v>
      </c>
      <c r="O178" s="26" t="str">
        <f>LOWER(CONCATENATE(SUBSTITUTE(bittrex[[#This Row],[Column1.MarketName]],"-","")))</f>
        <v>btcvtr</v>
      </c>
      <c r="P178" s="35">
        <f>bittrex[[#This Row],[Column1.Last]]</f>
        <v>4.3600000000000003E-5</v>
      </c>
    </row>
    <row r="179" spans="1:16">
      <c r="A179" t="s">
        <v>751</v>
      </c>
      <c r="B179">
        <v>1.11045E-3</v>
      </c>
      <c r="C179">
        <v>1.0200000000000001E-3</v>
      </c>
      <c r="D179">
        <v>361370.41844292998</v>
      </c>
      <c r="E179">
        <v>1.0702000000000001E-3</v>
      </c>
      <c r="F179">
        <v>385.95252162999998</v>
      </c>
      <c r="G179" t="s">
        <v>1299</v>
      </c>
      <c r="H179">
        <v>1.0701599999999999E-3</v>
      </c>
      <c r="I179">
        <v>1.0814399999999999E-3</v>
      </c>
      <c r="J179">
        <v>1273</v>
      </c>
      <c r="K179">
        <v>9673</v>
      </c>
      <c r="L179">
        <v>1.10005E-3</v>
      </c>
      <c r="M179" t="s">
        <v>752</v>
      </c>
      <c r="N179" s="29" t="str">
        <f>LOWER(CONCATENATE("bittrex:",SUBSTITUTE(bittrex[[#This Row],[Column1.MarketName]],"-","")))</f>
        <v>bittrex:btcwaves</v>
      </c>
      <c r="O179" s="26" t="str">
        <f>LOWER(CONCATENATE(SUBSTITUTE(bittrex[[#This Row],[Column1.MarketName]],"-","")))</f>
        <v>btcwaves</v>
      </c>
      <c r="P179" s="35">
        <f>bittrex[[#This Row],[Column1.Last]]</f>
        <v>1.0702000000000001E-3</v>
      </c>
    </row>
    <row r="180" spans="1:16">
      <c r="A180" t="s">
        <v>753</v>
      </c>
      <c r="B180">
        <v>1.6349999999999999E-4</v>
      </c>
      <c r="C180">
        <v>1.4961999999999999E-4</v>
      </c>
      <c r="D180">
        <v>823057.10286222002</v>
      </c>
      <c r="E180">
        <v>1.595E-4</v>
      </c>
      <c r="F180">
        <v>129.11774937999999</v>
      </c>
      <c r="G180" t="s">
        <v>1421</v>
      </c>
      <c r="H180">
        <v>1.595E-4</v>
      </c>
      <c r="I180">
        <v>1.6000000000000001E-4</v>
      </c>
      <c r="J180">
        <v>515</v>
      </c>
      <c r="K180">
        <v>3502</v>
      </c>
      <c r="L180">
        <v>1.5948000000000001E-4</v>
      </c>
      <c r="M180" t="s">
        <v>754</v>
      </c>
      <c r="N180" s="29" t="str">
        <f>LOWER(CONCATENATE("bittrex:",SUBSTITUTE(bittrex[[#This Row],[Column1.MarketName]],"-","")))</f>
        <v>bittrex:btcwings</v>
      </c>
      <c r="O180" s="26" t="str">
        <f>LOWER(CONCATENATE(SUBSTITUTE(bittrex[[#This Row],[Column1.MarketName]],"-","")))</f>
        <v>btcwings</v>
      </c>
      <c r="P180" s="35">
        <f>bittrex[[#This Row],[Column1.Last]]</f>
        <v>1.595E-4</v>
      </c>
    </row>
    <row r="181" spans="1:16">
      <c r="A181" t="s">
        <v>755</v>
      </c>
      <c r="B181">
        <v>4.2349999999999999E-5</v>
      </c>
      <c r="C181">
        <v>3.7209999999999998E-5</v>
      </c>
      <c r="D181">
        <v>660324.77858736005</v>
      </c>
      <c r="E181">
        <v>4.0049999999999998E-5</v>
      </c>
      <c r="F181">
        <v>26.34200199</v>
      </c>
      <c r="G181" t="s">
        <v>1279</v>
      </c>
      <c r="H181">
        <v>3.9900000000000001E-5</v>
      </c>
      <c r="I181">
        <v>4.0599999999999998E-5</v>
      </c>
      <c r="J181">
        <v>136</v>
      </c>
      <c r="K181">
        <v>1884</v>
      </c>
      <c r="L181">
        <v>4.0509999999999997E-5</v>
      </c>
      <c r="M181" t="s">
        <v>756</v>
      </c>
      <c r="N181" s="29" t="str">
        <f>LOWER(CONCATENATE("bittrex:",SUBSTITUTE(bittrex[[#This Row],[Column1.MarketName]],"-","")))</f>
        <v>bittrex:btcxaur</v>
      </c>
      <c r="O181" s="26" t="str">
        <f>LOWER(CONCATENATE(SUBSTITUTE(bittrex[[#This Row],[Column1.MarketName]],"-","")))</f>
        <v>btcxaur</v>
      </c>
      <c r="P181" s="35">
        <f>bittrex[[#This Row],[Column1.Last]]</f>
        <v>4.0049999999999998E-5</v>
      </c>
    </row>
    <row r="182" spans="1:16">
      <c r="A182" t="s">
        <v>1422</v>
      </c>
      <c r="B182">
        <v>6.8839999999999998E-5</v>
      </c>
      <c r="C182">
        <v>4.35E-5</v>
      </c>
      <c r="D182">
        <v>410125.27695817</v>
      </c>
      <c r="E182">
        <v>5.605E-5</v>
      </c>
      <c r="F182">
        <v>22.894552449999999</v>
      </c>
      <c r="G182" t="s">
        <v>1423</v>
      </c>
      <c r="H182">
        <v>5.605E-5</v>
      </c>
      <c r="I182">
        <v>5.766E-5</v>
      </c>
      <c r="J182">
        <v>136</v>
      </c>
      <c r="K182">
        <v>706</v>
      </c>
      <c r="L182">
        <v>5.2979999999999998E-5</v>
      </c>
      <c r="M182" t="s">
        <v>1424</v>
      </c>
      <c r="N182" s="29" t="str">
        <f>LOWER(CONCATENATE("bittrex:",SUBSTITUTE(bittrex[[#This Row],[Column1.MarketName]],"-","")))</f>
        <v>bittrex:btcxbb</v>
      </c>
      <c r="O182" s="26" t="str">
        <f>LOWER(CONCATENATE(SUBSTITUTE(bittrex[[#This Row],[Column1.MarketName]],"-","")))</f>
        <v>btcxbb</v>
      </c>
      <c r="P182" s="35">
        <f>bittrex[[#This Row],[Column1.Last]]</f>
        <v>5.605E-5</v>
      </c>
    </row>
    <row r="183" spans="1:16">
      <c r="A183" t="s">
        <v>757</v>
      </c>
      <c r="B183">
        <v>3.0125199999999999E-3</v>
      </c>
      <c r="C183">
        <v>2.7575799999999999E-3</v>
      </c>
      <c r="D183">
        <v>9657.7587908900005</v>
      </c>
      <c r="E183">
        <v>2.8156100000000001E-3</v>
      </c>
      <c r="F183">
        <v>27.525098839999998</v>
      </c>
      <c r="G183" t="s">
        <v>1425</v>
      </c>
      <c r="H183">
        <v>2.8156399999999999E-3</v>
      </c>
      <c r="I183">
        <v>2.85075E-3</v>
      </c>
      <c r="J183">
        <v>350</v>
      </c>
      <c r="K183">
        <v>2950</v>
      </c>
      <c r="L183">
        <v>2.9552200000000002E-3</v>
      </c>
      <c r="M183" t="s">
        <v>758</v>
      </c>
      <c r="N183" s="29" t="str">
        <f>LOWER(CONCATENATE("bittrex:",SUBSTITUTE(bittrex[[#This Row],[Column1.MarketName]],"-","")))</f>
        <v>bittrex:btcxcp</v>
      </c>
      <c r="O183" s="26" t="str">
        <f>LOWER(CONCATENATE(SUBSTITUTE(bittrex[[#This Row],[Column1.MarketName]],"-","")))</f>
        <v>btcxcp</v>
      </c>
      <c r="P183" s="35">
        <f>bittrex[[#This Row],[Column1.Last]]</f>
        <v>2.8156100000000001E-3</v>
      </c>
    </row>
    <row r="184" spans="1:16">
      <c r="A184" t="s">
        <v>759</v>
      </c>
      <c r="B184">
        <v>5.9999999999999997E-7</v>
      </c>
      <c r="C184">
        <v>5.5000000000000003E-7</v>
      </c>
      <c r="D184">
        <v>41148300.90871153</v>
      </c>
      <c r="E184">
        <v>5.5000000000000003E-7</v>
      </c>
      <c r="F184">
        <v>23.164641889999999</v>
      </c>
      <c r="G184" t="s">
        <v>1426</v>
      </c>
      <c r="H184">
        <v>5.5000000000000003E-7</v>
      </c>
      <c r="I184">
        <v>5.6000000000000004E-7</v>
      </c>
      <c r="J184">
        <v>753</v>
      </c>
      <c r="K184">
        <v>6370</v>
      </c>
      <c r="L184">
        <v>5.7000000000000005E-7</v>
      </c>
      <c r="M184" t="s">
        <v>760</v>
      </c>
      <c r="N184" s="29" t="str">
        <f>LOWER(CONCATENATE("bittrex:",SUBSTITUTE(bittrex[[#This Row],[Column1.MarketName]],"-","")))</f>
        <v>bittrex:btcxdn</v>
      </c>
      <c r="O184" s="26" t="str">
        <f>LOWER(CONCATENATE(SUBSTITUTE(bittrex[[#This Row],[Column1.MarketName]],"-","")))</f>
        <v>btcxdn</v>
      </c>
      <c r="P184" s="35">
        <f>bittrex[[#This Row],[Column1.Last]]</f>
        <v>5.5000000000000003E-7</v>
      </c>
    </row>
    <row r="185" spans="1:16">
      <c r="A185" t="s">
        <v>761</v>
      </c>
      <c r="B185">
        <v>1.145E-4</v>
      </c>
      <c r="C185">
        <v>1.0144E-4</v>
      </c>
      <c r="D185">
        <v>1930233.41146648</v>
      </c>
      <c r="E185">
        <v>1.0704000000000001E-4</v>
      </c>
      <c r="F185">
        <v>208.56823707000001</v>
      </c>
      <c r="G185" t="s">
        <v>1294</v>
      </c>
      <c r="H185">
        <v>1.0705E-4</v>
      </c>
      <c r="I185">
        <v>1.0828E-4</v>
      </c>
      <c r="J185">
        <v>728</v>
      </c>
      <c r="K185">
        <v>4998</v>
      </c>
      <c r="L185">
        <v>1.12E-4</v>
      </c>
      <c r="M185" t="s">
        <v>762</v>
      </c>
      <c r="N185" s="29" t="str">
        <f>LOWER(CONCATENATE("bittrex:",SUBSTITUTE(bittrex[[#This Row],[Column1.MarketName]],"-","")))</f>
        <v>bittrex:btcxel</v>
      </c>
      <c r="O185" s="26" t="str">
        <f>LOWER(CONCATENATE(SUBSTITUTE(bittrex[[#This Row],[Column1.MarketName]],"-","")))</f>
        <v>btcxel</v>
      </c>
      <c r="P185" s="35">
        <f>bittrex[[#This Row],[Column1.Last]]</f>
        <v>1.0704000000000001E-4</v>
      </c>
    </row>
    <row r="186" spans="1:16">
      <c r="A186" t="s">
        <v>763</v>
      </c>
      <c r="B186">
        <v>6.5989999999999997E-5</v>
      </c>
      <c r="C186">
        <v>6.3079999999999999E-5</v>
      </c>
      <c r="D186">
        <v>5475518.9677260602</v>
      </c>
      <c r="E186">
        <v>6.3479999999999995E-5</v>
      </c>
      <c r="F186">
        <v>352.24023955000001</v>
      </c>
      <c r="G186" t="s">
        <v>1408</v>
      </c>
      <c r="H186">
        <v>6.3260000000000001E-5</v>
      </c>
      <c r="I186">
        <v>6.3479999999999995E-5</v>
      </c>
      <c r="J186">
        <v>1499</v>
      </c>
      <c r="K186">
        <v>7233</v>
      </c>
      <c r="L186">
        <v>6.5060000000000004E-5</v>
      </c>
      <c r="M186" t="s">
        <v>764</v>
      </c>
      <c r="N186" s="29" t="str">
        <f>LOWER(CONCATENATE("bittrex:",SUBSTITUTE(bittrex[[#This Row],[Column1.MarketName]],"-","")))</f>
        <v>bittrex:btcxem</v>
      </c>
      <c r="O186" s="26" t="str">
        <f>LOWER(CONCATENATE(SUBSTITUTE(bittrex[[#This Row],[Column1.MarketName]],"-","")))</f>
        <v>btcxem</v>
      </c>
      <c r="P186" s="35">
        <f>bittrex[[#This Row],[Column1.Last]]</f>
        <v>6.3479999999999995E-5</v>
      </c>
    </row>
    <row r="187" spans="1:16">
      <c r="A187" t="s">
        <v>765</v>
      </c>
      <c r="B187">
        <v>4.5299999999999998E-6</v>
      </c>
      <c r="C187">
        <v>4.1799999999999998E-6</v>
      </c>
      <c r="D187">
        <v>36762164.343432002</v>
      </c>
      <c r="E187">
        <v>4.42E-6</v>
      </c>
      <c r="F187">
        <v>161.33129353000001</v>
      </c>
      <c r="G187" t="s">
        <v>1427</v>
      </c>
      <c r="H187">
        <v>4.4100000000000001E-6</v>
      </c>
      <c r="I187">
        <v>4.42E-6</v>
      </c>
      <c r="J187">
        <v>715</v>
      </c>
      <c r="K187">
        <v>10509</v>
      </c>
      <c r="L187">
        <v>4.3900000000000003E-6</v>
      </c>
      <c r="M187" t="s">
        <v>766</v>
      </c>
      <c r="N187" s="29" t="str">
        <f>LOWER(CONCATENATE("bittrex:",SUBSTITUTE(bittrex[[#This Row],[Column1.MarketName]],"-","")))</f>
        <v>bittrex:btcxlm</v>
      </c>
      <c r="O187" s="26" t="str">
        <f>LOWER(CONCATENATE(SUBSTITUTE(bittrex[[#This Row],[Column1.MarketName]],"-","")))</f>
        <v>btcxlm</v>
      </c>
      <c r="P187" s="35">
        <f>bittrex[[#This Row],[Column1.Last]]</f>
        <v>4.42E-6</v>
      </c>
    </row>
    <row r="188" spans="1:16">
      <c r="A188" t="s">
        <v>767</v>
      </c>
      <c r="B188">
        <v>5.698E-5</v>
      </c>
      <c r="C188">
        <v>4.7519999999999999E-5</v>
      </c>
      <c r="D188">
        <v>283633.98331610998</v>
      </c>
      <c r="E188">
        <v>5.571E-5</v>
      </c>
      <c r="F188">
        <v>15.08561654</v>
      </c>
      <c r="G188" t="s">
        <v>1428</v>
      </c>
      <c r="H188">
        <v>5.571E-5</v>
      </c>
      <c r="I188">
        <v>5.6350000000000001E-5</v>
      </c>
      <c r="J188">
        <v>362</v>
      </c>
      <c r="K188">
        <v>1498</v>
      </c>
      <c r="L188">
        <v>5.0130000000000003E-5</v>
      </c>
      <c r="M188" t="s">
        <v>768</v>
      </c>
      <c r="N188" s="29" t="str">
        <f>LOWER(CONCATENATE("bittrex:",SUBSTITUTE(bittrex[[#This Row],[Column1.MarketName]],"-","")))</f>
        <v>bittrex:btcxmg</v>
      </c>
      <c r="O188" s="26" t="str">
        <f>LOWER(CONCATENATE(SUBSTITUTE(bittrex[[#This Row],[Column1.MarketName]],"-","")))</f>
        <v>btcxmg</v>
      </c>
      <c r="P188" s="35">
        <f>bittrex[[#This Row],[Column1.Last]]</f>
        <v>5.571E-5</v>
      </c>
    </row>
    <row r="189" spans="1:16">
      <c r="A189" t="s">
        <v>769</v>
      </c>
      <c r="B189">
        <v>2.691795E-2</v>
      </c>
      <c r="C189">
        <v>2.5600000000000001E-2</v>
      </c>
      <c r="D189">
        <v>25972.192341919999</v>
      </c>
      <c r="E189">
        <v>2.665E-2</v>
      </c>
      <c r="F189">
        <v>679.08920075000003</v>
      </c>
      <c r="G189" t="s">
        <v>1429</v>
      </c>
      <c r="H189">
        <v>2.6650009999999998E-2</v>
      </c>
      <c r="I189">
        <v>2.666E-2</v>
      </c>
      <c r="J189">
        <v>2151</v>
      </c>
      <c r="K189">
        <v>4408</v>
      </c>
      <c r="L189">
        <v>2.6102500000000001E-2</v>
      </c>
      <c r="M189" t="s">
        <v>770</v>
      </c>
      <c r="N189" s="29" t="str">
        <f>LOWER(CONCATENATE("bittrex:",SUBSTITUTE(bittrex[[#This Row],[Column1.MarketName]],"-","")))</f>
        <v>bittrex:btcxmr</v>
      </c>
      <c r="O189" s="26" t="str">
        <f>LOWER(CONCATENATE(SUBSTITUTE(bittrex[[#This Row],[Column1.MarketName]],"-","")))</f>
        <v>btcxmr</v>
      </c>
      <c r="P189" s="35">
        <f>bittrex[[#This Row],[Column1.Last]]</f>
        <v>2.665E-2</v>
      </c>
    </row>
    <row r="190" spans="1:16">
      <c r="A190" t="s">
        <v>771</v>
      </c>
      <c r="B190">
        <v>6.1999999999999999E-7</v>
      </c>
      <c r="C190">
        <v>5.7000000000000005E-7</v>
      </c>
      <c r="D190">
        <v>13809147.225863781</v>
      </c>
      <c r="E190">
        <v>5.7999999999999995E-7</v>
      </c>
      <c r="F190">
        <v>8.1748972599999998</v>
      </c>
      <c r="G190" t="s">
        <v>1430</v>
      </c>
      <c r="H190">
        <v>5.7999999999999995E-7</v>
      </c>
      <c r="I190">
        <v>5.8999999999999996E-7</v>
      </c>
      <c r="J190">
        <v>445</v>
      </c>
      <c r="K190">
        <v>4745</v>
      </c>
      <c r="L190">
        <v>5.9999999999999997E-7</v>
      </c>
      <c r="M190" t="s">
        <v>772</v>
      </c>
      <c r="N190" s="29" t="str">
        <f>LOWER(CONCATENATE("bittrex:",SUBSTITUTE(bittrex[[#This Row],[Column1.MarketName]],"-","")))</f>
        <v>bittrex:btcxmy</v>
      </c>
      <c r="O190" s="26" t="str">
        <f>LOWER(CONCATENATE(SUBSTITUTE(bittrex[[#This Row],[Column1.MarketName]],"-","")))</f>
        <v>btcxmy</v>
      </c>
      <c r="P190" s="35">
        <f>bittrex[[#This Row],[Column1.Last]]</f>
        <v>5.7999999999999995E-7</v>
      </c>
    </row>
    <row r="191" spans="1:16">
      <c r="A191" t="s">
        <v>773</v>
      </c>
      <c r="B191">
        <v>5.0290000000000001E-5</v>
      </c>
      <c r="C191">
        <v>4.8319999999999998E-5</v>
      </c>
      <c r="D191">
        <v>26429713.55208081</v>
      </c>
      <c r="E191">
        <v>4.9079999999999998E-5</v>
      </c>
      <c r="F191">
        <v>1298.57585414</v>
      </c>
      <c r="G191" t="s">
        <v>1431</v>
      </c>
      <c r="H191">
        <v>4.9020000000000002E-5</v>
      </c>
      <c r="I191">
        <v>4.9079999999999998E-5</v>
      </c>
      <c r="J191">
        <v>2123</v>
      </c>
      <c r="K191">
        <v>20734</v>
      </c>
      <c r="L191">
        <v>4.9400000000000001E-5</v>
      </c>
      <c r="M191" t="s">
        <v>774</v>
      </c>
      <c r="N191" s="29" t="str">
        <f>LOWER(CONCATENATE("bittrex:",SUBSTITUTE(bittrex[[#This Row],[Column1.MarketName]],"-","")))</f>
        <v>bittrex:btcxrp</v>
      </c>
      <c r="O191" s="26" t="str">
        <f>LOWER(CONCATENATE(SUBSTITUTE(bittrex[[#This Row],[Column1.MarketName]],"-","")))</f>
        <v>btcxrp</v>
      </c>
      <c r="P191" s="35">
        <f>bittrex[[#This Row],[Column1.Last]]</f>
        <v>4.9079999999999998E-5</v>
      </c>
    </row>
    <row r="192" spans="1:16">
      <c r="A192" t="s">
        <v>775</v>
      </c>
      <c r="B192">
        <v>3.9570000000000002E-5</v>
      </c>
      <c r="C192">
        <v>3.3510000000000003E-5</v>
      </c>
      <c r="D192">
        <v>116580.87302481</v>
      </c>
      <c r="E192">
        <v>3.5040000000000003E-5</v>
      </c>
      <c r="F192">
        <v>4.1670755899999996</v>
      </c>
      <c r="G192" t="s">
        <v>1432</v>
      </c>
      <c r="H192">
        <v>3.5040000000000003E-5</v>
      </c>
      <c r="I192">
        <v>3.5580000000000002E-5</v>
      </c>
      <c r="J192">
        <v>208</v>
      </c>
      <c r="K192">
        <v>697</v>
      </c>
      <c r="L192">
        <v>3.5009999999999999E-5</v>
      </c>
      <c r="M192" t="s">
        <v>776</v>
      </c>
      <c r="N192" s="29" t="str">
        <f>LOWER(CONCATENATE("bittrex:",SUBSTITUTE(bittrex[[#This Row],[Column1.MarketName]],"-","")))</f>
        <v>bittrex:btcxst</v>
      </c>
      <c r="O192" s="26" t="str">
        <f>LOWER(CONCATENATE(SUBSTITUTE(bittrex[[#This Row],[Column1.MarketName]],"-","")))</f>
        <v>btcxst</v>
      </c>
      <c r="P192" s="35">
        <f>bittrex[[#This Row],[Column1.Last]]</f>
        <v>3.5040000000000003E-5</v>
      </c>
    </row>
    <row r="193" spans="1:16">
      <c r="A193" t="s">
        <v>777</v>
      </c>
      <c r="B193">
        <v>1.2899999999999999E-4</v>
      </c>
      <c r="C193">
        <v>1.0347E-4</v>
      </c>
      <c r="D193">
        <v>204844.42766012001</v>
      </c>
      <c r="E193">
        <v>1.0999E-4</v>
      </c>
      <c r="F193">
        <v>23.272827299999999</v>
      </c>
      <c r="G193" t="s">
        <v>1334</v>
      </c>
      <c r="H193">
        <v>1.11E-4</v>
      </c>
      <c r="I193">
        <v>1.1236E-4</v>
      </c>
      <c r="J193">
        <v>188</v>
      </c>
      <c r="K193">
        <v>1100</v>
      </c>
      <c r="L193">
        <v>1.0348000000000001E-4</v>
      </c>
      <c r="M193" t="s">
        <v>778</v>
      </c>
      <c r="N193" s="29" t="str">
        <f>LOWER(CONCATENATE("bittrex:",SUBSTITUTE(bittrex[[#This Row],[Column1.MarketName]],"-","")))</f>
        <v>bittrex:btcxvc</v>
      </c>
      <c r="O193" s="26" t="str">
        <f>LOWER(CONCATENATE(SUBSTITUTE(bittrex[[#This Row],[Column1.MarketName]],"-","")))</f>
        <v>btcxvc</v>
      </c>
      <c r="P193" s="35">
        <f>bittrex[[#This Row],[Column1.Last]]</f>
        <v>1.0999E-4</v>
      </c>
    </row>
    <row r="194" spans="1:16">
      <c r="A194" t="s">
        <v>779</v>
      </c>
      <c r="B194">
        <v>1.64E-6</v>
      </c>
      <c r="C194">
        <v>1.5200000000000001E-6</v>
      </c>
      <c r="D194">
        <v>735314605.82723999</v>
      </c>
      <c r="E194">
        <v>1.61E-6</v>
      </c>
      <c r="F194">
        <v>1166.0152867300001</v>
      </c>
      <c r="G194" t="s">
        <v>1433</v>
      </c>
      <c r="H194">
        <v>1.5999999999999999E-6</v>
      </c>
      <c r="I194">
        <v>1.61E-6</v>
      </c>
      <c r="J194">
        <v>4252</v>
      </c>
      <c r="K194">
        <v>10903</v>
      </c>
      <c r="L194">
        <v>1.5999999999999999E-6</v>
      </c>
      <c r="M194" t="s">
        <v>780</v>
      </c>
      <c r="N194" s="29" t="str">
        <f>LOWER(CONCATENATE("bittrex:",SUBSTITUTE(bittrex[[#This Row],[Column1.MarketName]],"-","")))</f>
        <v>bittrex:btcxvg</v>
      </c>
      <c r="O194" s="26" t="str">
        <f>LOWER(CONCATENATE(SUBSTITUTE(bittrex[[#This Row],[Column1.MarketName]],"-","")))</f>
        <v>btcxvg</v>
      </c>
      <c r="P194" s="35">
        <f>bittrex[[#This Row],[Column1.Last]]</f>
        <v>1.61E-6</v>
      </c>
    </row>
    <row r="195" spans="1:16">
      <c r="A195" t="s">
        <v>781</v>
      </c>
      <c r="B195">
        <v>3.6899999999999998E-6</v>
      </c>
      <c r="C195">
        <v>2.4399999999999999E-6</v>
      </c>
      <c r="D195">
        <v>148150036.82986075</v>
      </c>
      <c r="E195">
        <v>3.1599999999999998E-6</v>
      </c>
      <c r="F195">
        <v>457.87724394999998</v>
      </c>
      <c r="G195" t="s">
        <v>1434</v>
      </c>
      <c r="H195">
        <v>3.1599999999999998E-6</v>
      </c>
      <c r="I195">
        <v>3.1700000000000001E-6</v>
      </c>
      <c r="J195">
        <v>648</v>
      </c>
      <c r="K195">
        <v>1947</v>
      </c>
      <c r="L195">
        <v>2.7300000000000001E-6</v>
      </c>
      <c r="M195" t="s">
        <v>782</v>
      </c>
      <c r="N195" s="29" t="str">
        <f>LOWER(CONCATENATE("bittrex:",SUBSTITUTE(bittrex[[#This Row],[Column1.MarketName]],"-","")))</f>
        <v>bittrex:btcxwc</v>
      </c>
      <c r="O195" s="26" t="str">
        <f>LOWER(CONCATENATE(SUBSTITUTE(bittrex[[#This Row],[Column1.MarketName]],"-","")))</f>
        <v>btcxwc</v>
      </c>
      <c r="P195" s="35">
        <f>bittrex[[#This Row],[Column1.Last]]</f>
        <v>3.1599999999999998E-6</v>
      </c>
    </row>
    <row r="196" spans="1:16">
      <c r="A196" t="s">
        <v>783</v>
      </c>
      <c r="B196">
        <v>2.65E-3</v>
      </c>
      <c r="C196">
        <v>2.16702E-3</v>
      </c>
      <c r="D196">
        <v>39841.390114959999</v>
      </c>
      <c r="E196">
        <v>2.4128700000000001E-3</v>
      </c>
      <c r="F196">
        <v>97.319982870000004</v>
      </c>
      <c r="G196" t="s">
        <v>1274</v>
      </c>
      <c r="H196">
        <v>2.3297700000000001E-3</v>
      </c>
      <c r="I196">
        <v>2.4128600000000002E-3</v>
      </c>
      <c r="J196">
        <v>290</v>
      </c>
      <c r="K196">
        <v>2415</v>
      </c>
      <c r="L196">
        <v>2.4933400000000001E-3</v>
      </c>
      <c r="M196" t="s">
        <v>784</v>
      </c>
      <c r="N196" s="29" t="str">
        <f>LOWER(CONCATENATE("bittrex:",SUBSTITUTE(bittrex[[#This Row],[Column1.MarketName]],"-","")))</f>
        <v>bittrex:btcxzc</v>
      </c>
      <c r="O196" s="26" t="str">
        <f>LOWER(CONCATENATE(SUBSTITUTE(bittrex[[#This Row],[Column1.MarketName]],"-","")))</f>
        <v>btcxzc</v>
      </c>
      <c r="P196" s="35">
        <f>bittrex[[#This Row],[Column1.Last]]</f>
        <v>2.4128700000000001E-3</v>
      </c>
    </row>
    <row r="197" spans="1:16">
      <c r="A197" t="s">
        <v>785</v>
      </c>
      <c r="B197">
        <v>4.7909999999999999E-4</v>
      </c>
      <c r="C197">
        <v>4.3272999999999999E-4</v>
      </c>
      <c r="D197">
        <v>30894.426702559998</v>
      </c>
      <c r="E197">
        <v>4.5000999999999998E-4</v>
      </c>
      <c r="F197">
        <v>13.9915147</v>
      </c>
      <c r="G197" t="s">
        <v>1435</v>
      </c>
      <c r="H197">
        <v>4.4999999999999999E-4</v>
      </c>
      <c r="I197">
        <v>4.5000999999999998E-4</v>
      </c>
      <c r="J197">
        <v>404</v>
      </c>
      <c r="K197">
        <v>4144</v>
      </c>
      <c r="L197">
        <v>4.55E-4</v>
      </c>
      <c r="M197" t="s">
        <v>786</v>
      </c>
      <c r="N197" s="29" t="str">
        <f>LOWER(CONCATENATE("bittrex:",SUBSTITUTE(bittrex[[#This Row],[Column1.MarketName]],"-","")))</f>
        <v>bittrex:btczcl</v>
      </c>
      <c r="O197" s="26" t="str">
        <f>LOWER(CONCATENATE(SUBSTITUTE(bittrex[[#This Row],[Column1.MarketName]],"-","")))</f>
        <v>btczcl</v>
      </c>
      <c r="P197" s="35">
        <f>bittrex[[#This Row],[Column1.Last]]</f>
        <v>4.5000999999999998E-4</v>
      </c>
    </row>
    <row r="198" spans="1:16">
      <c r="A198" t="s">
        <v>787</v>
      </c>
      <c r="B198">
        <v>5.4622999999999998E-2</v>
      </c>
      <c r="C198">
        <v>5.1515150000000003E-2</v>
      </c>
      <c r="D198">
        <v>7889.3184660400002</v>
      </c>
      <c r="E198">
        <v>5.2699990000000002E-2</v>
      </c>
      <c r="F198">
        <v>418.77274646000001</v>
      </c>
      <c r="G198" t="s">
        <v>1296</v>
      </c>
      <c r="H198">
        <v>5.2500039999999998E-2</v>
      </c>
      <c r="I198">
        <v>5.269998E-2</v>
      </c>
      <c r="J198">
        <v>900</v>
      </c>
      <c r="K198">
        <v>7246</v>
      </c>
      <c r="L198">
        <v>5.347884E-2</v>
      </c>
      <c r="M198" t="s">
        <v>788</v>
      </c>
      <c r="N198" s="29" t="str">
        <f>LOWER(CONCATENATE("bittrex:",SUBSTITUTE(bittrex[[#This Row],[Column1.MarketName]],"-","")))</f>
        <v>bittrex:btczec</v>
      </c>
      <c r="O198" s="26" t="str">
        <f>LOWER(CONCATENATE(SUBSTITUTE(bittrex[[#This Row],[Column1.MarketName]],"-","")))</f>
        <v>btczec</v>
      </c>
      <c r="P198" s="35">
        <f>bittrex[[#This Row],[Column1.Last]]</f>
        <v>5.2699990000000002E-2</v>
      </c>
    </row>
    <row r="199" spans="1:16">
      <c r="A199" t="s">
        <v>789</v>
      </c>
      <c r="B199">
        <v>2.3E-3</v>
      </c>
      <c r="C199">
        <v>2E-3</v>
      </c>
      <c r="D199">
        <v>28559.11927861</v>
      </c>
      <c r="E199">
        <v>2E-3</v>
      </c>
      <c r="F199">
        <v>61.838166989999998</v>
      </c>
      <c r="G199" t="s">
        <v>1436</v>
      </c>
      <c r="H199">
        <v>2.0000700000000001E-3</v>
      </c>
      <c r="I199">
        <v>2.0391599999999999E-3</v>
      </c>
      <c r="J199">
        <v>458</v>
      </c>
      <c r="K199">
        <v>3018</v>
      </c>
      <c r="L199">
        <v>2.2772399999999998E-3</v>
      </c>
      <c r="M199" t="s">
        <v>790</v>
      </c>
      <c r="N199" s="29" t="str">
        <f>LOWER(CONCATENATE("bittrex:",SUBSTITUTE(bittrex[[#This Row],[Column1.MarketName]],"-","")))</f>
        <v>bittrex:btczen</v>
      </c>
      <c r="O199" s="26" t="str">
        <f>LOWER(CONCATENATE(SUBSTITUTE(bittrex[[#This Row],[Column1.MarketName]],"-","")))</f>
        <v>btczen</v>
      </c>
      <c r="P199" s="35">
        <f>bittrex[[#This Row],[Column1.Last]]</f>
        <v>2E-3</v>
      </c>
    </row>
    <row r="200" spans="1:16">
      <c r="A200" t="s">
        <v>791</v>
      </c>
      <c r="B200">
        <v>1.4122799999999999E-3</v>
      </c>
      <c r="C200">
        <v>1.2353900000000001E-3</v>
      </c>
      <c r="D200">
        <v>82789.078936689999</v>
      </c>
      <c r="E200">
        <v>1.27775E-3</v>
      </c>
      <c r="F200">
        <v>108.13446116999999</v>
      </c>
      <c r="G200" t="s">
        <v>1437</v>
      </c>
      <c r="H200">
        <v>1.2553900000000001E-3</v>
      </c>
      <c r="I200">
        <v>1.27771E-3</v>
      </c>
      <c r="J200">
        <v>85</v>
      </c>
      <c r="K200">
        <v>398</v>
      </c>
      <c r="L200">
        <v>1.2937199999999999E-3</v>
      </c>
      <c r="M200" t="s">
        <v>792</v>
      </c>
      <c r="N200" s="29" t="str">
        <f>LOWER(CONCATENATE("bittrex:",SUBSTITUTE(bittrex[[#This Row],[Column1.MarketName]],"-","")))</f>
        <v>bittrex:eth1st</v>
      </c>
      <c r="O200" s="26" t="str">
        <f>LOWER(CONCATENATE(SUBSTITUTE(bittrex[[#This Row],[Column1.MarketName]],"-","")))</f>
        <v>eth1st</v>
      </c>
      <c r="P200" s="35">
        <f>bittrex[[#This Row],[Column1.Last]]</f>
        <v>1.27775E-3</v>
      </c>
    </row>
    <row r="201" spans="1:16">
      <c r="A201" t="s">
        <v>793</v>
      </c>
      <c r="B201">
        <v>1.5066999999999999E-4</v>
      </c>
      <c r="C201">
        <v>1.3736E-4</v>
      </c>
      <c r="D201">
        <v>770401.33013371995</v>
      </c>
      <c r="E201">
        <v>1.47E-4</v>
      </c>
      <c r="F201">
        <v>111.22962294</v>
      </c>
      <c r="G201" t="s">
        <v>1386</v>
      </c>
      <c r="H201">
        <v>1.4401999999999999E-4</v>
      </c>
      <c r="I201">
        <v>1.4914999999999999E-4</v>
      </c>
      <c r="J201">
        <v>129</v>
      </c>
      <c r="K201">
        <v>319</v>
      </c>
      <c r="L201">
        <v>1.4370999999999999E-4</v>
      </c>
      <c r="M201" t="s">
        <v>794</v>
      </c>
      <c r="N201" s="29" t="str">
        <f>LOWER(CONCATENATE("bittrex:",SUBSTITUTE(bittrex[[#This Row],[Column1.MarketName]],"-","")))</f>
        <v>bittrex:ethadt</v>
      </c>
      <c r="O201" s="26" t="str">
        <f>LOWER(CONCATENATE(SUBSTITUTE(bittrex[[#This Row],[Column1.MarketName]],"-","")))</f>
        <v>ethadt</v>
      </c>
      <c r="P201" s="35">
        <f>bittrex[[#This Row],[Column1.Last]]</f>
        <v>1.47E-4</v>
      </c>
    </row>
    <row r="202" spans="1:16">
      <c r="A202" t="s">
        <v>795</v>
      </c>
      <c r="B202">
        <v>3.1366200000000001E-3</v>
      </c>
      <c r="C202">
        <v>2.8121000000000001E-3</v>
      </c>
      <c r="D202">
        <v>323854.55911674001</v>
      </c>
      <c r="E202">
        <v>2.9499999999999999E-3</v>
      </c>
      <c r="F202">
        <v>957.96319876999996</v>
      </c>
      <c r="G202" t="s">
        <v>1314</v>
      </c>
      <c r="H202">
        <v>2.9028299999999999E-3</v>
      </c>
      <c r="I202">
        <v>2.9751299999999999E-3</v>
      </c>
      <c r="J202">
        <v>193</v>
      </c>
      <c r="K202">
        <v>801</v>
      </c>
      <c r="L202">
        <v>3.0544600000000002E-3</v>
      </c>
      <c r="M202" t="s">
        <v>413</v>
      </c>
      <c r="N202" s="29" t="str">
        <f>LOWER(CONCATENATE("bittrex:",SUBSTITUTE(bittrex[[#This Row],[Column1.MarketName]],"-","")))</f>
        <v>bittrex:ethadx</v>
      </c>
      <c r="O202" s="26" t="str">
        <f>LOWER(CONCATENATE(SUBSTITUTE(bittrex[[#This Row],[Column1.MarketName]],"-","")))</f>
        <v>ethadx</v>
      </c>
      <c r="P202" s="35">
        <f>bittrex[[#This Row],[Column1.Last]]</f>
        <v>2.9499999999999999E-3</v>
      </c>
    </row>
    <row r="203" spans="1:16">
      <c r="A203" t="s">
        <v>796</v>
      </c>
      <c r="B203">
        <v>6.93562E-3</v>
      </c>
      <c r="C203">
        <v>6.34002E-3</v>
      </c>
      <c r="D203">
        <v>26663.718990490001</v>
      </c>
      <c r="E203">
        <v>6.57356E-3</v>
      </c>
      <c r="F203">
        <v>174.67238232</v>
      </c>
      <c r="G203" t="s">
        <v>1352</v>
      </c>
      <c r="H203">
        <v>6.3835300000000001E-3</v>
      </c>
      <c r="I203">
        <v>6.5735500000000001E-3</v>
      </c>
      <c r="J203">
        <v>94</v>
      </c>
      <c r="K203">
        <v>459</v>
      </c>
      <c r="L203">
        <v>6.5199999999999998E-3</v>
      </c>
      <c r="M203" t="s">
        <v>797</v>
      </c>
      <c r="N203" s="29" t="str">
        <f>LOWER(CONCATENATE("bittrex:",SUBSTITUTE(bittrex[[#This Row],[Column1.MarketName]],"-","")))</f>
        <v>bittrex:ethant</v>
      </c>
      <c r="O203" s="26" t="str">
        <f>LOWER(CONCATENATE(SUBSTITUTE(bittrex[[#This Row],[Column1.MarketName]],"-","")))</f>
        <v>ethant</v>
      </c>
      <c r="P203" s="35">
        <f>bittrex[[#This Row],[Column1.Last]]</f>
        <v>6.57356E-3</v>
      </c>
    </row>
    <row r="204" spans="1:16">
      <c r="A204" t="s">
        <v>798</v>
      </c>
      <c r="B204">
        <v>7.45E-4</v>
      </c>
      <c r="C204">
        <v>6.6001999999999999E-4</v>
      </c>
      <c r="D204">
        <v>1076923.8128096301</v>
      </c>
      <c r="E204">
        <v>7.3094000000000002E-4</v>
      </c>
      <c r="F204">
        <v>758.04153721</v>
      </c>
      <c r="G204" t="s">
        <v>1438</v>
      </c>
      <c r="H204">
        <v>7.3094000000000002E-4</v>
      </c>
      <c r="I204">
        <v>7.3999999999999999E-4</v>
      </c>
      <c r="J204">
        <v>282</v>
      </c>
      <c r="K204">
        <v>583</v>
      </c>
      <c r="L204">
        <v>6.7356999999999996E-4</v>
      </c>
      <c r="M204" t="s">
        <v>799</v>
      </c>
      <c r="N204" s="29" t="str">
        <f>LOWER(CONCATENATE("bittrex:",SUBSTITUTE(bittrex[[#This Row],[Column1.MarketName]],"-","")))</f>
        <v>bittrex:ethbat</v>
      </c>
      <c r="O204" s="26" t="str">
        <f>LOWER(CONCATENATE(SUBSTITUTE(bittrex[[#This Row],[Column1.MarketName]],"-","")))</f>
        <v>ethbat</v>
      </c>
      <c r="P204" s="35">
        <f>bittrex[[#This Row],[Column1.Last]]</f>
        <v>7.3094000000000002E-4</v>
      </c>
    </row>
    <row r="205" spans="1:16">
      <c r="A205" t="s">
        <v>800</v>
      </c>
      <c r="B205">
        <v>2.2000000000000002</v>
      </c>
      <c r="C205">
        <v>1.9000051200000001</v>
      </c>
      <c r="D205">
        <v>1957.9891031699999</v>
      </c>
      <c r="E205">
        <v>2.0993228199999998</v>
      </c>
      <c r="F205">
        <v>4005.1647607199998</v>
      </c>
      <c r="G205" t="s">
        <v>1439</v>
      </c>
      <c r="H205">
        <v>2.0500001399999999</v>
      </c>
      <c r="I205">
        <v>2.0993226900000002</v>
      </c>
      <c r="J205">
        <v>332</v>
      </c>
      <c r="K205">
        <v>723</v>
      </c>
      <c r="L205">
        <v>1.9255201799999999</v>
      </c>
      <c r="M205" t="s">
        <v>801</v>
      </c>
      <c r="N205" s="29" t="str">
        <f>LOWER(CONCATENATE("bittrex:",SUBSTITUTE(bittrex[[#This Row],[Column1.MarketName]],"-","")))</f>
        <v>bittrex:ethbcc</v>
      </c>
      <c r="O205" s="26" t="str">
        <f>LOWER(CONCATENATE(SUBSTITUTE(bittrex[[#This Row],[Column1.MarketName]],"-","")))</f>
        <v>ethbcc</v>
      </c>
      <c r="P205" s="35">
        <f>bittrex[[#This Row],[Column1.Last]]</f>
        <v>2.0993228199999998</v>
      </c>
    </row>
    <row r="206" spans="1:16">
      <c r="A206" t="s">
        <v>802</v>
      </c>
      <c r="B206">
        <v>8.5000000000000006E-3</v>
      </c>
      <c r="C206">
        <v>7.8003400000000002E-3</v>
      </c>
      <c r="D206">
        <v>46321.017770749997</v>
      </c>
      <c r="E206">
        <v>7.9300299999999994E-3</v>
      </c>
      <c r="F206">
        <v>368.09998934999999</v>
      </c>
      <c r="G206" t="s">
        <v>1355</v>
      </c>
      <c r="H206">
        <v>7.9301700000000003E-3</v>
      </c>
      <c r="I206">
        <v>8.0286400000000001E-3</v>
      </c>
      <c r="J206">
        <v>123</v>
      </c>
      <c r="K206">
        <v>416</v>
      </c>
      <c r="L206">
        <v>7.9462999999999999E-3</v>
      </c>
      <c r="M206" t="s">
        <v>803</v>
      </c>
      <c r="N206" s="29" t="str">
        <f>LOWER(CONCATENATE("bittrex:",SUBSTITUTE(bittrex[[#This Row],[Column1.MarketName]],"-","")))</f>
        <v>bittrex:ethbnt</v>
      </c>
      <c r="O206" s="26" t="str">
        <f>LOWER(CONCATENATE(SUBSTITUTE(bittrex[[#This Row],[Column1.MarketName]],"-","")))</f>
        <v>ethbnt</v>
      </c>
      <c r="P206" s="35">
        <f>bittrex[[#This Row],[Column1.Last]]</f>
        <v>7.9300299999999994E-3</v>
      </c>
    </row>
    <row r="207" spans="1:16">
      <c r="A207" t="s">
        <v>804</v>
      </c>
      <c r="B207">
        <v>4.7605E-4</v>
      </c>
      <c r="C207">
        <v>4.3000999999999998E-4</v>
      </c>
      <c r="D207">
        <v>281527.31060597999</v>
      </c>
      <c r="E207">
        <v>4.3899999999999999E-4</v>
      </c>
      <c r="F207">
        <v>127.90328022</v>
      </c>
      <c r="G207" t="s">
        <v>1440</v>
      </c>
      <c r="H207">
        <v>4.3430999999999998E-4</v>
      </c>
      <c r="I207">
        <v>4.3899999999999999E-4</v>
      </c>
      <c r="J207">
        <v>90</v>
      </c>
      <c r="K207">
        <v>312</v>
      </c>
      <c r="L207">
        <v>4.6599E-4</v>
      </c>
      <c r="M207" t="s">
        <v>805</v>
      </c>
      <c r="N207" s="29" t="str">
        <f>LOWER(CONCATENATE("bittrex:",SUBSTITUTE(bittrex[[#This Row],[Column1.MarketName]],"-","")))</f>
        <v>bittrex:ethbts</v>
      </c>
      <c r="O207" s="26" t="str">
        <f>LOWER(CONCATENATE(SUBSTITUTE(bittrex[[#This Row],[Column1.MarketName]],"-","")))</f>
        <v>ethbts</v>
      </c>
      <c r="P207" s="35">
        <f>bittrex[[#This Row],[Column1.Last]]</f>
        <v>4.3899999999999999E-4</v>
      </c>
    </row>
    <row r="208" spans="1:16">
      <c r="A208" t="s">
        <v>806</v>
      </c>
      <c r="B208">
        <v>5.4993000000000002E-4</v>
      </c>
      <c r="C208">
        <v>4.9801000000000001E-4</v>
      </c>
      <c r="D208">
        <v>299324.53426503</v>
      </c>
      <c r="E208">
        <v>5.2621999999999999E-4</v>
      </c>
      <c r="F208">
        <v>156.22682201000001</v>
      </c>
      <c r="G208" t="s">
        <v>1441</v>
      </c>
      <c r="H208">
        <v>5.2605999999999996E-4</v>
      </c>
      <c r="I208">
        <v>5.4230000000000001E-4</v>
      </c>
      <c r="J208">
        <v>86</v>
      </c>
      <c r="K208">
        <v>405</v>
      </c>
      <c r="L208">
        <v>5.1604999999999999E-4</v>
      </c>
      <c r="M208" t="s">
        <v>807</v>
      </c>
      <c r="N208" s="29" t="str">
        <f>LOWER(CONCATENATE("bittrex:",SUBSTITUTE(bittrex[[#This Row],[Column1.MarketName]],"-","")))</f>
        <v>bittrex:ethcfi</v>
      </c>
      <c r="O208" s="26" t="str">
        <f>LOWER(CONCATENATE(SUBSTITUTE(bittrex[[#This Row],[Column1.MarketName]],"-","")))</f>
        <v>ethcfi</v>
      </c>
      <c r="P208" s="35">
        <f>bittrex[[#This Row],[Column1.Last]]</f>
        <v>5.2621999999999999E-4</v>
      </c>
    </row>
    <row r="209" spans="1:16">
      <c r="A209" t="s">
        <v>808</v>
      </c>
      <c r="B209">
        <v>2.3918500000000001E-3</v>
      </c>
      <c r="C209">
        <v>2.1725300000000002E-3</v>
      </c>
      <c r="D209">
        <v>21261.61357008</v>
      </c>
      <c r="E209">
        <v>2.19426E-3</v>
      </c>
      <c r="F209">
        <v>47.519318689999999</v>
      </c>
      <c r="G209" t="s">
        <v>1279</v>
      </c>
      <c r="H209">
        <v>2.19426E-3</v>
      </c>
      <c r="I209">
        <v>2.2371399999999999E-3</v>
      </c>
      <c r="J209">
        <v>94</v>
      </c>
      <c r="K209">
        <v>148</v>
      </c>
      <c r="L209">
        <v>2.3273899999999999E-3</v>
      </c>
      <c r="M209" t="s">
        <v>809</v>
      </c>
      <c r="N209" s="29" t="str">
        <f>LOWER(CONCATENATE("bittrex:",SUBSTITUTE(bittrex[[#This Row],[Column1.MarketName]],"-","")))</f>
        <v>bittrex:ethcrb</v>
      </c>
      <c r="O209" s="26" t="str">
        <f>LOWER(CONCATENATE(SUBSTITUTE(bittrex[[#This Row],[Column1.MarketName]],"-","")))</f>
        <v>ethcrb</v>
      </c>
      <c r="P209" s="35">
        <f>bittrex[[#This Row],[Column1.Last]]</f>
        <v>2.19426E-3</v>
      </c>
    </row>
    <row r="210" spans="1:16">
      <c r="A210" t="s">
        <v>810</v>
      </c>
      <c r="B210">
        <v>1.3453600000000001E-3</v>
      </c>
      <c r="C210">
        <v>1.2488200000000001E-3</v>
      </c>
      <c r="D210">
        <v>522991.91216706001</v>
      </c>
      <c r="E210">
        <v>1.27768E-3</v>
      </c>
      <c r="F210">
        <v>672.79709869999999</v>
      </c>
      <c r="G210" t="s">
        <v>1282</v>
      </c>
      <c r="H210">
        <v>1.27768E-3</v>
      </c>
      <c r="I210">
        <v>1.29861E-3</v>
      </c>
      <c r="J210">
        <v>252</v>
      </c>
      <c r="K210">
        <v>761</v>
      </c>
      <c r="L210">
        <v>1.32E-3</v>
      </c>
      <c r="M210" t="s">
        <v>811</v>
      </c>
      <c r="N210" s="29" t="str">
        <f>LOWER(CONCATENATE("bittrex:",SUBSTITUTE(bittrex[[#This Row],[Column1.MarketName]],"-","")))</f>
        <v>bittrex:ethcvc</v>
      </c>
      <c r="O210" s="26" t="str">
        <f>LOWER(CONCATENATE(SUBSTITUTE(bittrex[[#This Row],[Column1.MarketName]],"-","")))</f>
        <v>ethcvc</v>
      </c>
      <c r="P210" s="35">
        <f>bittrex[[#This Row],[Column1.Last]]</f>
        <v>1.27768E-3</v>
      </c>
    </row>
    <row r="211" spans="1:16">
      <c r="A211" t="s">
        <v>812</v>
      </c>
      <c r="B211">
        <v>1.0559992899999999</v>
      </c>
      <c r="C211">
        <v>1.0180792999999999</v>
      </c>
      <c r="D211">
        <v>78.814380920000005</v>
      </c>
      <c r="E211">
        <v>1.05</v>
      </c>
      <c r="F211">
        <v>81.929705530000007</v>
      </c>
      <c r="G211" t="s">
        <v>1442</v>
      </c>
      <c r="H211">
        <v>1.0307076100000001</v>
      </c>
      <c r="I211">
        <v>1.05</v>
      </c>
      <c r="J211">
        <v>166</v>
      </c>
      <c r="K211">
        <v>136</v>
      </c>
      <c r="L211">
        <v>1.04689732</v>
      </c>
      <c r="M211" t="s">
        <v>813</v>
      </c>
      <c r="N211" s="29" t="str">
        <f>LOWER(CONCATENATE("bittrex:",SUBSTITUTE(bittrex[[#This Row],[Column1.MarketName]],"-","")))</f>
        <v>bittrex:ethdash</v>
      </c>
      <c r="O211" s="26" t="str">
        <f>LOWER(CONCATENATE(SUBSTITUTE(bittrex[[#This Row],[Column1.MarketName]],"-","")))</f>
        <v>ethdash</v>
      </c>
      <c r="P211" s="35">
        <f>bittrex[[#This Row],[Column1.Last]]</f>
        <v>1.05</v>
      </c>
    </row>
    <row r="212" spans="1:16">
      <c r="A212" t="s">
        <v>814</v>
      </c>
      <c r="B212">
        <v>5.7920000000000001E-5</v>
      </c>
      <c r="C212">
        <v>5.1999999999999997E-5</v>
      </c>
      <c r="D212">
        <v>4058009.2489216202</v>
      </c>
      <c r="E212">
        <v>5.4809999999999999E-5</v>
      </c>
      <c r="F212">
        <v>224.45881073999999</v>
      </c>
      <c r="G212" t="s">
        <v>1340</v>
      </c>
      <c r="H212">
        <v>5.3909999999999997E-5</v>
      </c>
      <c r="I212">
        <v>5.5550000000000002E-5</v>
      </c>
      <c r="J212">
        <v>152</v>
      </c>
      <c r="K212">
        <v>302</v>
      </c>
      <c r="L212">
        <v>5.7000000000000003E-5</v>
      </c>
      <c r="M212" t="s">
        <v>815</v>
      </c>
      <c r="N212" s="29" t="str">
        <f>LOWER(CONCATENATE("bittrex:",SUBSTITUTE(bittrex[[#This Row],[Column1.MarketName]],"-","")))</f>
        <v>bittrex:ethdgb</v>
      </c>
      <c r="O212" s="26" t="str">
        <f>LOWER(CONCATENATE(SUBSTITUTE(bittrex[[#This Row],[Column1.MarketName]],"-","")))</f>
        <v>ethdgb</v>
      </c>
      <c r="P212" s="35">
        <f>bittrex[[#This Row],[Column1.Last]]</f>
        <v>5.4809999999999999E-5</v>
      </c>
    </row>
    <row r="213" spans="1:16">
      <c r="A213" t="s">
        <v>816</v>
      </c>
      <c r="B213">
        <v>0.28092284000000001</v>
      </c>
      <c r="C213">
        <v>0.25591765</v>
      </c>
      <c r="D213">
        <v>295.05234804000003</v>
      </c>
      <c r="E213">
        <v>0.27167352</v>
      </c>
      <c r="F213">
        <v>79.067595330000003</v>
      </c>
      <c r="G213" t="s">
        <v>1299</v>
      </c>
      <c r="H213">
        <v>0.26289864000000002</v>
      </c>
      <c r="I213">
        <v>0.27165864000000001</v>
      </c>
      <c r="J213">
        <v>106</v>
      </c>
      <c r="K213">
        <v>185</v>
      </c>
      <c r="L213">
        <v>0.25572075</v>
      </c>
      <c r="M213" t="s">
        <v>817</v>
      </c>
      <c r="N213" s="29" t="str">
        <f>LOWER(CONCATENATE("bittrex:",SUBSTITUTE(bittrex[[#This Row],[Column1.MarketName]],"-","")))</f>
        <v>bittrex:ethdgd</v>
      </c>
      <c r="O213" s="26" t="str">
        <f>LOWER(CONCATENATE(SUBSTITUTE(bittrex[[#This Row],[Column1.MarketName]],"-","")))</f>
        <v>ethdgd</v>
      </c>
      <c r="P213" s="35">
        <f>bittrex[[#This Row],[Column1.Last]]</f>
        <v>0.27167352</v>
      </c>
    </row>
    <row r="214" spans="1:16">
      <c r="A214" t="s">
        <v>818</v>
      </c>
      <c r="B214">
        <v>5.7549820000000002E-2</v>
      </c>
      <c r="C214">
        <v>5.4359360000000002E-2</v>
      </c>
      <c r="D214">
        <v>6744.1063741099997</v>
      </c>
      <c r="E214">
        <v>5.5210000000000002E-2</v>
      </c>
      <c r="F214">
        <v>375.37959620999999</v>
      </c>
      <c r="G214" t="s">
        <v>1443</v>
      </c>
      <c r="H214">
        <v>5.5210000000000002E-2</v>
      </c>
      <c r="I214">
        <v>5.5630930000000002E-2</v>
      </c>
      <c r="J214">
        <v>177</v>
      </c>
      <c r="K214">
        <v>1044</v>
      </c>
      <c r="L214">
        <v>5.6502620000000003E-2</v>
      </c>
      <c r="M214" t="s">
        <v>819</v>
      </c>
      <c r="N214" s="29" t="str">
        <f>LOWER(CONCATENATE("bittrex:",SUBSTITUTE(bittrex[[#This Row],[Column1.MarketName]],"-","")))</f>
        <v>bittrex:ethetc</v>
      </c>
      <c r="O214" s="26" t="str">
        <f>LOWER(CONCATENATE(SUBSTITUTE(bittrex[[#This Row],[Column1.MarketName]],"-","")))</f>
        <v>ethetc</v>
      </c>
      <c r="P214" s="35">
        <f>bittrex[[#This Row],[Column1.Last]]</f>
        <v>5.5210000000000002E-2</v>
      </c>
    </row>
    <row r="215" spans="1:16">
      <c r="A215" t="s">
        <v>820</v>
      </c>
      <c r="B215">
        <v>8.9094000000000007E-2</v>
      </c>
      <c r="C215">
        <v>7.7000009999999994E-2</v>
      </c>
      <c r="D215">
        <v>1394.33988748</v>
      </c>
      <c r="E215">
        <v>8.9093889999999995E-2</v>
      </c>
      <c r="F215">
        <v>113.78968080999999</v>
      </c>
      <c r="G215" t="s">
        <v>1444</v>
      </c>
      <c r="H215">
        <v>8.7200639999999996E-2</v>
      </c>
      <c r="I215">
        <v>8.9093839999999994E-2</v>
      </c>
      <c r="J215">
        <v>94</v>
      </c>
      <c r="K215">
        <v>155</v>
      </c>
      <c r="L215">
        <v>7.7903849999999997E-2</v>
      </c>
      <c r="M215" t="s">
        <v>805</v>
      </c>
      <c r="N215" s="29" t="str">
        <f>LOWER(CONCATENATE("bittrex:",SUBSTITUTE(bittrex[[#This Row],[Column1.MarketName]],"-","")))</f>
        <v>bittrex:ethfct</v>
      </c>
      <c r="O215" s="26" t="str">
        <f>LOWER(CONCATENATE(SUBSTITUTE(bittrex[[#This Row],[Column1.MarketName]],"-","")))</f>
        <v>ethfct</v>
      </c>
      <c r="P215" s="35">
        <f>bittrex[[#This Row],[Column1.Last]]</f>
        <v>8.9093889999999995E-2</v>
      </c>
    </row>
    <row r="216" spans="1:16">
      <c r="A216" t="s">
        <v>821</v>
      </c>
      <c r="B216">
        <v>8.9959999999999999E-5</v>
      </c>
      <c r="C216">
        <v>7.6199999999999995E-5</v>
      </c>
      <c r="D216">
        <v>5279872.0166179901</v>
      </c>
      <c r="E216">
        <v>8.653E-5</v>
      </c>
      <c r="F216">
        <v>436.09735718000002</v>
      </c>
      <c r="G216" t="s">
        <v>1445</v>
      </c>
      <c r="H216">
        <v>8.4829999999999999E-5</v>
      </c>
      <c r="I216">
        <v>8.6899999999999998E-5</v>
      </c>
      <c r="J216">
        <v>225</v>
      </c>
      <c r="K216">
        <v>672</v>
      </c>
      <c r="L216">
        <v>8.0140000000000002E-5</v>
      </c>
      <c r="M216" t="s">
        <v>822</v>
      </c>
      <c r="N216" s="29" t="str">
        <f>LOWER(CONCATENATE("bittrex:",SUBSTITUTE(bittrex[[#This Row],[Column1.MarketName]],"-","")))</f>
        <v>bittrex:ethfun</v>
      </c>
      <c r="O216" s="26" t="str">
        <f>LOWER(CONCATENATE(SUBSTITUTE(bittrex[[#This Row],[Column1.MarketName]],"-","")))</f>
        <v>ethfun</v>
      </c>
      <c r="P216" s="35">
        <f>bittrex[[#This Row],[Column1.Last]]</f>
        <v>8.653E-5</v>
      </c>
    </row>
    <row r="217" spans="1:16">
      <c r="A217" t="s">
        <v>823</v>
      </c>
      <c r="B217">
        <v>0.48570184</v>
      </c>
      <c r="C217">
        <v>0.44859655999999998</v>
      </c>
      <c r="D217">
        <v>102.641839</v>
      </c>
      <c r="E217">
        <v>0.47924013999999998</v>
      </c>
      <c r="F217">
        <v>47.375698669999998</v>
      </c>
      <c r="G217" t="s">
        <v>1446</v>
      </c>
      <c r="H217">
        <v>0.47924058000000003</v>
      </c>
      <c r="I217">
        <v>0.49179246999999998</v>
      </c>
      <c r="J217">
        <v>79</v>
      </c>
      <c r="K217">
        <v>183</v>
      </c>
      <c r="L217">
        <v>0.44845296000000001</v>
      </c>
      <c r="M217" t="s">
        <v>824</v>
      </c>
      <c r="N217" s="29" t="str">
        <f>LOWER(CONCATENATE("bittrex:",SUBSTITUTE(bittrex[[#This Row],[Column1.MarketName]],"-","")))</f>
        <v>bittrex:ethgno</v>
      </c>
      <c r="O217" s="26" t="str">
        <f>LOWER(CONCATENATE(SUBSTITUTE(bittrex[[#This Row],[Column1.MarketName]],"-","")))</f>
        <v>ethgno</v>
      </c>
      <c r="P217" s="35">
        <f>bittrex[[#This Row],[Column1.Last]]</f>
        <v>0.47924013999999998</v>
      </c>
    </row>
    <row r="218" spans="1:16">
      <c r="A218" t="s">
        <v>825</v>
      </c>
      <c r="B218">
        <v>1.5801000000000001E-3</v>
      </c>
      <c r="C218">
        <v>1.16033E-3</v>
      </c>
      <c r="D218">
        <v>3323703.5425706501</v>
      </c>
      <c r="E218">
        <v>1.25164E-3</v>
      </c>
      <c r="F218">
        <v>4516.78911909</v>
      </c>
      <c r="G218" t="s">
        <v>1447</v>
      </c>
      <c r="H218">
        <v>1.2516300000000001E-3</v>
      </c>
      <c r="I218">
        <v>1.25164E-3</v>
      </c>
      <c r="J218">
        <v>440</v>
      </c>
      <c r="K218">
        <v>705</v>
      </c>
      <c r="L218">
        <v>1.4007799999999999E-3</v>
      </c>
      <c r="M218" t="s">
        <v>826</v>
      </c>
      <c r="N218" s="29" t="str">
        <f>LOWER(CONCATENATE("bittrex:",SUBSTITUTE(bittrex[[#This Row],[Column1.MarketName]],"-","")))</f>
        <v>bittrex:ethgnt</v>
      </c>
      <c r="O218" s="26" t="str">
        <f>LOWER(CONCATENATE(SUBSTITUTE(bittrex[[#This Row],[Column1.MarketName]],"-","")))</f>
        <v>ethgnt</v>
      </c>
      <c r="P218" s="35">
        <f>bittrex[[#This Row],[Column1.Last]]</f>
        <v>1.25164E-3</v>
      </c>
    </row>
    <row r="219" spans="1:16">
      <c r="A219" t="s">
        <v>827</v>
      </c>
      <c r="B219">
        <v>6.6293000000000005E-4</v>
      </c>
      <c r="C219">
        <v>6.0002000000000005E-4</v>
      </c>
      <c r="D219">
        <v>40452.499607140002</v>
      </c>
      <c r="E219">
        <v>6.4258000000000002E-4</v>
      </c>
      <c r="F219">
        <v>25.663071330000001</v>
      </c>
      <c r="G219" t="s">
        <v>1448</v>
      </c>
      <c r="H219">
        <v>6.4258000000000002E-4</v>
      </c>
      <c r="I219">
        <v>6.5576999999999996E-4</v>
      </c>
      <c r="J219">
        <v>117</v>
      </c>
      <c r="K219">
        <v>223</v>
      </c>
      <c r="L219">
        <v>6.3791E-4</v>
      </c>
      <c r="M219" t="s">
        <v>828</v>
      </c>
      <c r="N219" s="29" t="str">
        <f>LOWER(CONCATENATE("bittrex:",SUBSTITUTE(bittrex[[#This Row],[Column1.MarketName]],"-","")))</f>
        <v>bittrex:ethgup</v>
      </c>
      <c r="O219" s="26" t="str">
        <f>LOWER(CONCATENATE(SUBSTITUTE(bittrex[[#This Row],[Column1.MarketName]],"-","")))</f>
        <v>ethgup</v>
      </c>
      <c r="P219" s="35">
        <f>bittrex[[#This Row],[Column1.Last]]</f>
        <v>6.4258000000000002E-4</v>
      </c>
    </row>
    <row r="220" spans="1:16">
      <c r="A220" t="s">
        <v>829</v>
      </c>
      <c r="B220">
        <v>4.2674E-4</v>
      </c>
      <c r="C220">
        <v>3.6249999999999998E-4</v>
      </c>
      <c r="D220">
        <v>174725.46190813999</v>
      </c>
      <c r="E220">
        <v>4.1221999999999998E-4</v>
      </c>
      <c r="F220">
        <v>68.762252509999996</v>
      </c>
      <c r="G220" t="s">
        <v>1449</v>
      </c>
      <c r="H220">
        <v>4.0011000000000002E-4</v>
      </c>
      <c r="I220">
        <v>4.1675000000000002E-4</v>
      </c>
      <c r="J220">
        <v>85</v>
      </c>
      <c r="K220">
        <v>339</v>
      </c>
      <c r="L220">
        <v>3.7034999999999998E-4</v>
      </c>
      <c r="M220" t="s">
        <v>830</v>
      </c>
      <c r="N220" s="29" t="str">
        <f>LOWER(CONCATENATE("bittrex:",SUBSTITUTE(bittrex[[#This Row],[Column1.MarketName]],"-","")))</f>
        <v>bittrex:ethhmq</v>
      </c>
      <c r="O220" s="26" t="str">
        <f>LOWER(CONCATENATE(SUBSTITUTE(bittrex[[#This Row],[Column1.MarketName]],"-","")))</f>
        <v>ethhmq</v>
      </c>
      <c r="P220" s="35">
        <f>bittrex[[#This Row],[Column1.Last]]</f>
        <v>4.1221999999999998E-4</v>
      </c>
    </row>
    <row r="221" spans="1:16">
      <c r="A221" t="s">
        <v>831</v>
      </c>
      <c r="B221">
        <v>5.0475099999999998E-3</v>
      </c>
      <c r="C221">
        <v>4.4000000000000003E-3</v>
      </c>
      <c r="D221">
        <v>11931.16995593</v>
      </c>
      <c r="E221">
        <v>4.5182E-3</v>
      </c>
      <c r="F221">
        <v>55.458782329999998</v>
      </c>
      <c r="G221" t="s">
        <v>1314</v>
      </c>
      <c r="H221">
        <v>4.50331E-3</v>
      </c>
      <c r="I221">
        <v>4.7969299999999996E-3</v>
      </c>
      <c r="J221">
        <v>85</v>
      </c>
      <c r="K221">
        <v>395</v>
      </c>
      <c r="L221">
        <v>4.6771E-3</v>
      </c>
      <c r="M221" t="s">
        <v>832</v>
      </c>
      <c r="N221" s="29" t="str">
        <f>LOWER(CONCATENATE("bittrex:",SUBSTITUTE(bittrex[[#This Row],[Column1.MarketName]],"-","")))</f>
        <v>bittrex:ethlgd</v>
      </c>
      <c r="O221" s="26" t="str">
        <f>LOWER(CONCATENATE(SUBSTITUTE(bittrex[[#This Row],[Column1.MarketName]],"-","")))</f>
        <v>ethlgd</v>
      </c>
      <c r="P221" s="35">
        <f>bittrex[[#This Row],[Column1.Last]]</f>
        <v>4.5182E-3</v>
      </c>
    </row>
    <row r="222" spans="1:16">
      <c r="A222" t="s">
        <v>833</v>
      </c>
      <c r="B222">
        <v>0.24779893</v>
      </c>
      <c r="C222">
        <v>0.23762437</v>
      </c>
      <c r="D222">
        <v>7138.7011384999996</v>
      </c>
      <c r="E222">
        <v>0.24155009</v>
      </c>
      <c r="F222">
        <v>1728.7486428699999</v>
      </c>
      <c r="G222" t="s">
        <v>1450</v>
      </c>
      <c r="H222">
        <v>0.2414</v>
      </c>
      <c r="I222">
        <v>0.24351874000000001</v>
      </c>
      <c r="J222">
        <v>321</v>
      </c>
      <c r="K222">
        <v>252</v>
      </c>
      <c r="L222">
        <v>0.24199902000000001</v>
      </c>
      <c r="M222" t="s">
        <v>834</v>
      </c>
      <c r="N222" s="29" t="str">
        <f>LOWER(CONCATENATE("bittrex:",SUBSTITUTE(bittrex[[#This Row],[Column1.MarketName]],"-","")))</f>
        <v>bittrex:ethltc</v>
      </c>
      <c r="O222" s="26" t="str">
        <f>LOWER(CONCATENATE(SUBSTITUTE(bittrex[[#This Row],[Column1.MarketName]],"-","")))</f>
        <v>ethltc</v>
      </c>
      <c r="P222" s="35">
        <f>bittrex[[#This Row],[Column1.Last]]</f>
        <v>0.24155009</v>
      </c>
    </row>
    <row r="223" spans="1:16">
      <c r="A223" t="s">
        <v>835</v>
      </c>
      <c r="B223">
        <v>2.7012789999999998E-2</v>
      </c>
      <c r="C223">
        <v>2.4511660000000001E-2</v>
      </c>
      <c r="D223">
        <v>4110.2876572799996</v>
      </c>
      <c r="E223">
        <v>2.6200000000000001E-2</v>
      </c>
      <c r="F223">
        <v>107.83087906</v>
      </c>
      <c r="G223" t="s">
        <v>1451</v>
      </c>
      <c r="H223">
        <v>2.6200000000000001E-2</v>
      </c>
      <c r="I223">
        <v>2.6554999999999999E-2</v>
      </c>
      <c r="J223">
        <v>77</v>
      </c>
      <c r="K223">
        <v>176</v>
      </c>
      <c r="L223">
        <v>2.6100000000000002E-2</v>
      </c>
      <c r="M223" t="s">
        <v>836</v>
      </c>
      <c r="N223" s="29" t="str">
        <f>LOWER(CONCATENATE("bittrex:",SUBSTITUTE(bittrex[[#This Row],[Column1.MarketName]],"-","")))</f>
        <v>bittrex:ethlun</v>
      </c>
      <c r="O223" s="26" t="str">
        <f>LOWER(CONCATENATE(SUBSTITUTE(bittrex[[#This Row],[Column1.MarketName]],"-","")))</f>
        <v>ethlun</v>
      </c>
      <c r="P223" s="35">
        <f>bittrex[[#This Row],[Column1.Last]]</f>
        <v>2.6200000000000001E-2</v>
      </c>
    </row>
    <row r="224" spans="1:16">
      <c r="A224" t="s">
        <v>837</v>
      </c>
      <c r="B224">
        <v>3.6509989999999999E-2</v>
      </c>
      <c r="C224">
        <v>2.745997E-2</v>
      </c>
      <c r="D224">
        <v>66923.067685350004</v>
      </c>
      <c r="E224">
        <v>3.3126099999999999E-2</v>
      </c>
      <c r="F224">
        <v>2060.5745337200001</v>
      </c>
      <c r="G224" t="s">
        <v>1333</v>
      </c>
      <c r="H224">
        <v>3.2106160000000002E-2</v>
      </c>
      <c r="I224">
        <v>3.3099879999999998E-2</v>
      </c>
      <c r="J224">
        <v>299</v>
      </c>
      <c r="K224">
        <v>940</v>
      </c>
      <c r="L224">
        <v>2.8500000000000001E-2</v>
      </c>
      <c r="M224" t="s">
        <v>838</v>
      </c>
      <c r="N224" s="29" t="str">
        <f>LOWER(CONCATENATE("bittrex:",SUBSTITUTE(bittrex[[#This Row],[Column1.MarketName]],"-","")))</f>
        <v>bittrex:ethmco</v>
      </c>
      <c r="O224" s="26" t="str">
        <f>LOWER(CONCATENATE(SUBSTITUTE(bittrex[[#This Row],[Column1.MarketName]],"-","")))</f>
        <v>ethmco</v>
      </c>
      <c r="P224" s="35">
        <f>bittrex[[#This Row],[Column1.Last]]</f>
        <v>3.3126099999999999E-2</v>
      </c>
    </row>
    <row r="225" spans="1:16">
      <c r="A225" t="s">
        <v>839</v>
      </c>
      <c r="B225">
        <v>4.4998700000000003E-2</v>
      </c>
      <c r="C225">
        <v>3.4000019999999999E-2</v>
      </c>
      <c r="D225">
        <v>28606.445050099999</v>
      </c>
      <c r="E225">
        <v>4.132106E-2</v>
      </c>
      <c r="F225">
        <v>1129.0691122999999</v>
      </c>
      <c r="G225" t="s">
        <v>1276</v>
      </c>
      <c r="H225">
        <v>4.0730620000000002E-2</v>
      </c>
      <c r="I225">
        <v>4.1318760000000003E-2</v>
      </c>
      <c r="J225">
        <v>171</v>
      </c>
      <c r="K225">
        <v>135</v>
      </c>
      <c r="L225">
        <v>3.5980039999999998E-2</v>
      </c>
      <c r="M225" t="s">
        <v>840</v>
      </c>
      <c r="N225" s="29" t="str">
        <f>LOWER(CONCATENATE("bittrex:",SUBSTITUTE(bittrex[[#This Row],[Column1.MarketName]],"-","")))</f>
        <v>bittrex:ethmtl</v>
      </c>
      <c r="O225" s="26" t="str">
        <f>LOWER(CONCATENATE(SUBSTITUTE(bittrex[[#This Row],[Column1.MarketName]],"-","")))</f>
        <v>ethmtl</v>
      </c>
      <c r="P225" s="35">
        <f>bittrex[[#This Row],[Column1.Last]]</f>
        <v>4.132106E-2</v>
      </c>
    </row>
    <row r="226" spans="1:16">
      <c r="A226" t="s">
        <v>841</v>
      </c>
      <c r="B226">
        <v>4.1020600000000003E-3</v>
      </c>
      <c r="C226">
        <v>3.4411400000000001E-3</v>
      </c>
      <c r="D226">
        <v>31637.740882819999</v>
      </c>
      <c r="E226">
        <v>3.7021300000000001E-3</v>
      </c>
      <c r="F226">
        <v>119.06703199</v>
      </c>
      <c r="G226" t="s">
        <v>1314</v>
      </c>
      <c r="H226">
        <v>3.7021300000000001E-3</v>
      </c>
      <c r="I226">
        <v>3.83928E-3</v>
      </c>
      <c r="J226">
        <v>107</v>
      </c>
      <c r="K226">
        <v>335</v>
      </c>
      <c r="L226">
        <v>4.1020600000000003E-3</v>
      </c>
      <c r="M226" t="s">
        <v>842</v>
      </c>
      <c r="N226" s="29" t="str">
        <f>LOWER(CONCATENATE("bittrex:",SUBSTITUTE(bittrex[[#This Row],[Column1.MarketName]],"-","")))</f>
        <v>bittrex:ethmyst</v>
      </c>
      <c r="O226" s="26" t="str">
        <f>LOWER(CONCATENATE(SUBSTITUTE(bittrex[[#This Row],[Column1.MarketName]],"-","")))</f>
        <v>ethmyst</v>
      </c>
      <c r="P226" s="35">
        <f>bittrex[[#This Row],[Column1.Last]]</f>
        <v>3.7021300000000001E-3</v>
      </c>
    </row>
    <row r="227" spans="1:16">
      <c r="A227" t="s">
        <v>843</v>
      </c>
      <c r="B227">
        <v>0.105</v>
      </c>
      <c r="C227">
        <v>6.5500020000000006E-2</v>
      </c>
      <c r="D227">
        <v>240707.11304778999</v>
      </c>
      <c r="E227">
        <v>9.1841450000000005E-2</v>
      </c>
      <c r="F227">
        <v>20793.494739549998</v>
      </c>
      <c r="G227" t="s">
        <v>1416</v>
      </c>
      <c r="H227">
        <v>9.0748010000000004E-2</v>
      </c>
      <c r="I227">
        <v>9.2367249999999998E-2</v>
      </c>
      <c r="J227">
        <v>996</v>
      </c>
      <c r="K227">
        <v>1917</v>
      </c>
      <c r="L227">
        <v>6.5200209999999995E-2</v>
      </c>
      <c r="M227" t="s">
        <v>844</v>
      </c>
      <c r="N227" s="29" t="str">
        <f>LOWER(CONCATENATE("bittrex:",SUBSTITUTE(bittrex[[#This Row],[Column1.MarketName]],"-","")))</f>
        <v>bittrex:ethneo</v>
      </c>
      <c r="O227" s="26" t="str">
        <f>LOWER(CONCATENATE(SUBSTITUTE(bittrex[[#This Row],[Column1.MarketName]],"-","")))</f>
        <v>ethneo</v>
      </c>
      <c r="P227" s="35">
        <f>bittrex[[#This Row],[Column1.Last]]</f>
        <v>9.1841450000000005E-2</v>
      </c>
    </row>
    <row r="228" spans="1:16">
      <c r="A228" t="s">
        <v>845</v>
      </c>
      <c r="B228">
        <v>6.9705459999999997E-2</v>
      </c>
      <c r="C228">
        <v>6.0000100000000001E-2</v>
      </c>
      <c r="D228">
        <v>1572.6221748999999</v>
      </c>
      <c r="E228">
        <v>6.4770620000000001E-2</v>
      </c>
      <c r="F228">
        <v>102.47036871</v>
      </c>
      <c r="G228" t="s">
        <v>1452</v>
      </c>
      <c r="H228">
        <v>6.4770610000000006E-2</v>
      </c>
      <c r="I228">
        <v>6.6963010000000003E-2</v>
      </c>
      <c r="J228">
        <v>94</v>
      </c>
      <c r="K228">
        <v>475</v>
      </c>
      <c r="L228">
        <v>6.4105690000000007E-2</v>
      </c>
      <c r="M228" t="s">
        <v>627</v>
      </c>
      <c r="N228" s="29" t="str">
        <f>LOWER(CONCATENATE("bittrex:",SUBSTITUTE(bittrex[[#This Row],[Column1.MarketName]],"-","")))</f>
        <v>bittrex:ethnmr</v>
      </c>
      <c r="O228" s="26" t="str">
        <f>LOWER(CONCATENATE(SUBSTITUTE(bittrex[[#This Row],[Column1.MarketName]],"-","")))</f>
        <v>ethnmr</v>
      </c>
      <c r="P228" s="35">
        <f>bittrex[[#This Row],[Column1.Last]]</f>
        <v>6.4770620000000001E-2</v>
      </c>
    </row>
    <row r="229" spans="1:16">
      <c r="A229" t="s">
        <v>846</v>
      </c>
      <c r="B229">
        <v>4.2176369999999998E-2</v>
      </c>
      <c r="C229">
        <v>3.2820000000000002E-2</v>
      </c>
      <c r="D229">
        <v>726248.86647266999</v>
      </c>
      <c r="E229">
        <v>3.8899999999999997E-2</v>
      </c>
      <c r="F229">
        <v>27223.31319266</v>
      </c>
      <c r="G229" t="s">
        <v>1453</v>
      </c>
      <c r="H229">
        <v>3.9E-2</v>
      </c>
      <c r="I229">
        <v>3.9139899999999998E-2</v>
      </c>
      <c r="J229">
        <v>1520</v>
      </c>
      <c r="K229">
        <v>562</v>
      </c>
      <c r="L229">
        <v>3.4999990000000002E-2</v>
      </c>
      <c r="M229" t="s">
        <v>847</v>
      </c>
      <c r="N229" s="29" t="str">
        <f>LOWER(CONCATENATE("bittrex:",SUBSTITUTE(bittrex[[#This Row],[Column1.MarketName]],"-","")))</f>
        <v>bittrex:ethomg</v>
      </c>
      <c r="O229" s="26" t="str">
        <f>LOWER(CONCATENATE(SUBSTITUTE(bittrex[[#This Row],[Column1.MarketName]],"-","")))</f>
        <v>ethomg</v>
      </c>
      <c r="P229" s="35">
        <f>bittrex[[#This Row],[Column1.Last]]</f>
        <v>3.8899999999999997E-2</v>
      </c>
    </row>
    <row r="230" spans="1:16">
      <c r="A230" t="s">
        <v>848</v>
      </c>
      <c r="B230">
        <v>1.0205000000000001E-2</v>
      </c>
      <c r="C230">
        <v>8.8000000000000005E-3</v>
      </c>
      <c r="D230">
        <v>383203.97874662001</v>
      </c>
      <c r="E230">
        <v>9.9520000000000008E-3</v>
      </c>
      <c r="F230">
        <v>3592.86141189</v>
      </c>
      <c r="G230" t="s">
        <v>1454</v>
      </c>
      <c r="H230">
        <v>9.8519999999999996E-3</v>
      </c>
      <c r="I230">
        <v>9.9519299999999995E-3</v>
      </c>
      <c r="J230">
        <v>477</v>
      </c>
      <c r="K230">
        <v>1339</v>
      </c>
      <c r="L230">
        <v>8.8999999999999999E-3</v>
      </c>
      <c r="M230" t="s">
        <v>849</v>
      </c>
      <c r="N230" s="29" t="str">
        <f>LOWER(CONCATENATE("bittrex:",SUBSTITUTE(bittrex[[#This Row],[Column1.MarketName]],"-","")))</f>
        <v>bittrex:ethpay</v>
      </c>
      <c r="O230" s="26" t="str">
        <f>LOWER(CONCATENATE(SUBSTITUTE(bittrex[[#This Row],[Column1.MarketName]],"-","")))</f>
        <v>ethpay</v>
      </c>
      <c r="P230" s="35">
        <f>bittrex[[#This Row],[Column1.Last]]</f>
        <v>9.9520000000000008E-3</v>
      </c>
    </row>
    <row r="231" spans="1:16">
      <c r="A231" t="s">
        <v>850</v>
      </c>
      <c r="B231">
        <v>1.15194E-3</v>
      </c>
      <c r="C231">
        <v>1.0686000000000001E-3</v>
      </c>
      <c r="D231">
        <v>39477.511097850002</v>
      </c>
      <c r="E231">
        <v>1.1195599999999999E-3</v>
      </c>
      <c r="F231">
        <v>43.296481640000003</v>
      </c>
      <c r="G231" t="s">
        <v>1455</v>
      </c>
      <c r="H231">
        <v>1.1059799999999999E-3</v>
      </c>
      <c r="I231">
        <v>1.13181E-3</v>
      </c>
      <c r="J231">
        <v>127</v>
      </c>
      <c r="K231">
        <v>188</v>
      </c>
      <c r="L231">
        <v>1.09698E-3</v>
      </c>
      <c r="M231" t="s">
        <v>851</v>
      </c>
      <c r="N231" s="29" t="str">
        <f>LOWER(CONCATENATE("bittrex:",SUBSTITUTE(bittrex[[#This Row],[Column1.MarketName]],"-","")))</f>
        <v>bittrex:ethptoy</v>
      </c>
      <c r="O231" s="26" t="str">
        <f>LOWER(CONCATENATE(SUBSTITUTE(bittrex[[#This Row],[Column1.MarketName]],"-","")))</f>
        <v>ethptoy</v>
      </c>
      <c r="P231" s="35">
        <f>bittrex[[#This Row],[Column1.Last]]</f>
        <v>1.1195599999999999E-3</v>
      </c>
    </row>
    <row r="232" spans="1:16">
      <c r="A232" t="s">
        <v>852</v>
      </c>
      <c r="B232">
        <v>2.0899E-3</v>
      </c>
      <c r="C232">
        <v>1.7500199999999999E-3</v>
      </c>
      <c r="D232">
        <v>23936.860270280002</v>
      </c>
      <c r="E232">
        <v>1.9422199999999999E-3</v>
      </c>
      <c r="F232">
        <v>44.997554039999997</v>
      </c>
      <c r="G232" t="s">
        <v>1456</v>
      </c>
      <c r="H232">
        <v>1.9422199999999999E-3</v>
      </c>
      <c r="I232">
        <v>1.9821800000000001E-3</v>
      </c>
      <c r="J232">
        <v>105</v>
      </c>
      <c r="K232">
        <v>267</v>
      </c>
      <c r="L232">
        <v>1.83694E-3</v>
      </c>
      <c r="M232" t="s">
        <v>853</v>
      </c>
      <c r="N232" s="29" t="str">
        <f>LOWER(CONCATENATE("bittrex:",SUBSTITUTE(bittrex[[#This Row],[Column1.MarketName]],"-","")))</f>
        <v>bittrex:ethqrl</v>
      </c>
      <c r="O232" s="26" t="str">
        <f>LOWER(CONCATENATE(SUBSTITUTE(bittrex[[#This Row],[Column1.MarketName]],"-","")))</f>
        <v>ethqrl</v>
      </c>
      <c r="P232" s="35">
        <f>bittrex[[#This Row],[Column1.Last]]</f>
        <v>1.9422199999999999E-3</v>
      </c>
    </row>
    <row r="233" spans="1:16">
      <c r="A233" t="s">
        <v>854</v>
      </c>
      <c r="B233">
        <v>4.8589809999999997E-2</v>
      </c>
      <c r="C233">
        <v>3.3504970000000002E-2</v>
      </c>
      <c r="D233">
        <v>302355.89862455998</v>
      </c>
      <c r="E233">
        <v>4.2528070000000001E-2</v>
      </c>
      <c r="F233">
        <v>12345.971456249999</v>
      </c>
      <c r="G233" t="s">
        <v>1457</v>
      </c>
      <c r="H233">
        <v>4.2505000000000001E-2</v>
      </c>
      <c r="I233">
        <v>4.2528070000000001E-2</v>
      </c>
      <c r="J233">
        <v>445</v>
      </c>
      <c r="K233">
        <v>725</v>
      </c>
      <c r="L233">
        <v>3.3998720000000003E-2</v>
      </c>
      <c r="M233" t="s">
        <v>661</v>
      </c>
      <c r="N233" s="29" t="str">
        <f>LOWER(CONCATENATE("bittrex:",SUBSTITUTE(bittrex[[#This Row],[Column1.MarketName]],"-","")))</f>
        <v>bittrex:ethqtum</v>
      </c>
      <c r="O233" s="26" t="str">
        <f>LOWER(CONCATENATE(SUBSTITUTE(bittrex[[#This Row],[Column1.MarketName]],"-","")))</f>
        <v>ethqtum</v>
      </c>
      <c r="P233" s="35">
        <f>bittrex[[#This Row],[Column1.Last]]</f>
        <v>4.2528070000000001E-2</v>
      </c>
    </row>
    <row r="234" spans="1:16">
      <c r="A234" t="s">
        <v>855</v>
      </c>
      <c r="B234">
        <v>7.2936360000000006E-2</v>
      </c>
      <c r="C234">
        <v>6.9500010000000001E-2</v>
      </c>
      <c r="D234">
        <v>502.30950598999999</v>
      </c>
      <c r="E234">
        <v>7.2936360000000006E-2</v>
      </c>
      <c r="F234">
        <v>35.543021670000002</v>
      </c>
      <c r="G234" t="s">
        <v>1458</v>
      </c>
      <c r="H234">
        <v>7.0927589999999999E-2</v>
      </c>
      <c r="I234">
        <v>7.2935710000000001E-2</v>
      </c>
      <c r="J234">
        <v>108</v>
      </c>
      <c r="K234">
        <v>190</v>
      </c>
      <c r="L234">
        <v>7.1383489999999994E-2</v>
      </c>
      <c r="M234" t="s">
        <v>856</v>
      </c>
      <c r="N234" s="29" t="str">
        <f>LOWER(CONCATENATE("bittrex:",SUBSTITUTE(bittrex[[#This Row],[Column1.MarketName]],"-","")))</f>
        <v>bittrex:ethrep</v>
      </c>
      <c r="O234" s="26" t="str">
        <f>LOWER(CONCATENATE(SUBSTITUTE(bittrex[[#This Row],[Column1.MarketName]],"-","")))</f>
        <v>ethrep</v>
      </c>
      <c r="P234" s="35">
        <f>bittrex[[#This Row],[Column1.Last]]</f>
        <v>7.2936360000000006E-2</v>
      </c>
    </row>
    <row r="235" spans="1:16">
      <c r="A235" t="s">
        <v>857</v>
      </c>
      <c r="B235">
        <v>1.8698899999999999E-3</v>
      </c>
      <c r="C235">
        <v>1.7125E-3</v>
      </c>
      <c r="D235">
        <v>13459.192480670001</v>
      </c>
      <c r="E235">
        <v>1.7599899999999999E-3</v>
      </c>
      <c r="F235">
        <v>23.491670580000001</v>
      </c>
      <c r="G235" t="s">
        <v>1355</v>
      </c>
      <c r="H235">
        <v>1.71675E-3</v>
      </c>
      <c r="I235">
        <v>1.7600000000000001E-3</v>
      </c>
      <c r="J235">
        <v>86</v>
      </c>
      <c r="K235">
        <v>271</v>
      </c>
      <c r="L235">
        <v>1.8039799999999999E-3</v>
      </c>
      <c r="M235" t="s">
        <v>858</v>
      </c>
      <c r="N235" s="29" t="str">
        <f>LOWER(CONCATENATE("bittrex:",SUBSTITUTE(bittrex[[#This Row],[Column1.MarketName]],"-","")))</f>
        <v>bittrex:ethrlc</v>
      </c>
      <c r="O235" s="26" t="str">
        <f>LOWER(CONCATENATE(SUBSTITUTE(bittrex[[#This Row],[Column1.MarketName]],"-","")))</f>
        <v>ethrlc</v>
      </c>
      <c r="P235" s="35">
        <f>bittrex[[#This Row],[Column1.Last]]</f>
        <v>1.7599899999999999E-3</v>
      </c>
    </row>
    <row r="236" spans="1:16">
      <c r="A236" t="s">
        <v>859</v>
      </c>
      <c r="B236">
        <v>2.4239999999999998E-5</v>
      </c>
      <c r="C236">
        <v>2.287E-5</v>
      </c>
      <c r="D236">
        <v>5360547.8052878296</v>
      </c>
      <c r="E236">
        <v>2.3289999999999999E-5</v>
      </c>
      <c r="F236">
        <v>126.18530762</v>
      </c>
      <c r="G236" t="s">
        <v>1459</v>
      </c>
      <c r="H236">
        <v>2.3249999999999999E-5</v>
      </c>
      <c r="I236">
        <v>2.3300000000000001E-5</v>
      </c>
      <c r="J236">
        <v>248</v>
      </c>
      <c r="K236">
        <v>769</v>
      </c>
      <c r="L236">
        <v>2.4239999999999998E-5</v>
      </c>
      <c r="M236" t="s">
        <v>860</v>
      </c>
      <c r="N236" s="29" t="str">
        <f>LOWER(CONCATENATE("bittrex:",SUBSTITUTE(bittrex[[#This Row],[Column1.MarketName]],"-","")))</f>
        <v>bittrex:ethsc</v>
      </c>
      <c r="O236" s="26" t="str">
        <f>LOWER(CONCATENATE(SUBSTITUTE(bittrex[[#This Row],[Column1.MarketName]],"-","")))</f>
        <v>ethsc</v>
      </c>
      <c r="P236" s="35">
        <f>bittrex[[#This Row],[Column1.Last]]</f>
        <v>2.3289999999999999E-5</v>
      </c>
    </row>
    <row r="237" spans="1:16">
      <c r="A237" t="s">
        <v>861</v>
      </c>
      <c r="B237">
        <v>4.6564000000000002E-4</v>
      </c>
      <c r="C237">
        <v>4.0000000000000002E-4</v>
      </c>
      <c r="D237">
        <v>408187.67236576002</v>
      </c>
      <c r="E237">
        <v>4.2625999999999997E-4</v>
      </c>
      <c r="F237">
        <v>171.92799389999999</v>
      </c>
      <c r="G237" t="s">
        <v>1436</v>
      </c>
      <c r="H237">
        <v>4.2628000000000002E-4</v>
      </c>
      <c r="I237">
        <v>4.3706000000000002E-4</v>
      </c>
      <c r="J237">
        <v>129</v>
      </c>
      <c r="K237">
        <v>311</v>
      </c>
      <c r="L237">
        <v>4.4359999999999999E-4</v>
      </c>
      <c r="M237" t="s">
        <v>862</v>
      </c>
      <c r="N237" s="29" t="str">
        <f>LOWER(CONCATENATE("bittrex:",SUBSTITUTE(bittrex[[#This Row],[Column1.MarketName]],"-","")))</f>
        <v>bittrex:ethsngls</v>
      </c>
      <c r="O237" s="26" t="str">
        <f>LOWER(CONCATENATE(SUBSTITUTE(bittrex[[#This Row],[Column1.MarketName]],"-","")))</f>
        <v>ethsngls</v>
      </c>
      <c r="P237" s="35">
        <f>bittrex[[#This Row],[Column1.Last]]</f>
        <v>4.2625999999999997E-4</v>
      </c>
    </row>
    <row r="238" spans="1:16">
      <c r="A238" t="s">
        <v>863</v>
      </c>
      <c r="B238">
        <v>1.211E-4</v>
      </c>
      <c r="C238">
        <v>1.0805E-4</v>
      </c>
      <c r="D238">
        <v>8805057.8076549601</v>
      </c>
      <c r="E238">
        <v>1.0811000000000001E-4</v>
      </c>
      <c r="F238">
        <v>995.24928564000004</v>
      </c>
      <c r="G238" t="s">
        <v>1409</v>
      </c>
      <c r="H238">
        <v>1.0822E-4</v>
      </c>
      <c r="I238">
        <v>1.1027999999999999E-4</v>
      </c>
      <c r="J238">
        <v>159</v>
      </c>
      <c r="K238">
        <v>1092</v>
      </c>
      <c r="L238">
        <v>1.1628E-4</v>
      </c>
      <c r="M238" t="s">
        <v>864</v>
      </c>
      <c r="N238" s="29" t="str">
        <f>LOWER(CONCATENATE("bittrex:",SUBSTITUTE(bittrex[[#This Row],[Column1.MarketName]],"-","")))</f>
        <v>bittrex:ethsnt</v>
      </c>
      <c r="O238" s="26" t="str">
        <f>LOWER(CONCATENATE(SUBSTITUTE(bittrex[[#This Row],[Column1.MarketName]],"-","")))</f>
        <v>ethsnt</v>
      </c>
      <c r="P238" s="35">
        <f>bittrex[[#This Row],[Column1.Last]]</f>
        <v>1.0811000000000001E-4</v>
      </c>
    </row>
    <row r="239" spans="1:16">
      <c r="A239" t="s">
        <v>865</v>
      </c>
      <c r="B239">
        <v>2.29911E-3</v>
      </c>
      <c r="C239">
        <v>1.7376799999999999E-3</v>
      </c>
      <c r="D239">
        <v>213795.26949365</v>
      </c>
      <c r="E239">
        <v>2.0899999999999998E-3</v>
      </c>
      <c r="F239">
        <v>413.37861371000002</v>
      </c>
      <c r="G239" t="s">
        <v>1460</v>
      </c>
      <c r="H239">
        <v>2.0213800000000001E-3</v>
      </c>
      <c r="I239">
        <v>2.0896999999999999E-3</v>
      </c>
      <c r="J239">
        <v>128</v>
      </c>
      <c r="K239">
        <v>422</v>
      </c>
      <c r="L239">
        <v>1.77422E-3</v>
      </c>
      <c r="M239" t="s">
        <v>707</v>
      </c>
      <c r="N239" s="29" t="str">
        <f>LOWER(CONCATENATE("bittrex:",SUBSTITUTE(bittrex[[#This Row],[Column1.MarketName]],"-","")))</f>
        <v>bittrex:ethstorj</v>
      </c>
      <c r="O239" s="26" t="str">
        <f>LOWER(CONCATENATE(SUBSTITUTE(bittrex[[#This Row],[Column1.MarketName]],"-","")))</f>
        <v>ethstorj</v>
      </c>
      <c r="P239" s="35">
        <f>bittrex[[#This Row],[Column1.Last]]</f>
        <v>2.0899999999999998E-3</v>
      </c>
    </row>
    <row r="240" spans="1:16">
      <c r="A240" t="s">
        <v>866</v>
      </c>
      <c r="B240">
        <v>1.9199999999999998E-2</v>
      </c>
      <c r="C240">
        <v>1.790021E-2</v>
      </c>
      <c r="D240">
        <v>43953.825641000003</v>
      </c>
      <c r="E240">
        <v>1.9199529999999999E-2</v>
      </c>
      <c r="F240">
        <v>818.74671114</v>
      </c>
      <c r="G240" t="s">
        <v>1461</v>
      </c>
      <c r="H240">
        <v>1.9E-2</v>
      </c>
      <c r="I240">
        <v>1.9199529999999999E-2</v>
      </c>
      <c r="J240">
        <v>252</v>
      </c>
      <c r="K240">
        <v>646</v>
      </c>
      <c r="L240">
        <v>1.8317130000000001E-2</v>
      </c>
      <c r="M240" t="s">
        <v>867</v>
      </c>
      <c r="N240" s="29" t="str">
        <f>LOWER(CONCATENATE("bittrex:",SUBSTITUTE(bittrex[[#This Row],[Column1.MarketName]],"-","")))</f>
        <v>bittrex:ethstrat</v>
      </c>
      <c r="O240" s="26" t="str">
        <f>LOWER(CONCATENATE(SUBSTITUTE(bittrex[[#This Row],[Column1.MarketName]],"-","")))</f>
        <v>ethstrat</v>
      </c>
      <c r="P240" s="35">
        <f>bittrex[[#This Row],[Column1.Last]]</f>
        <v>1.9199529999999999E-2</v>
      </c>
    </row>
    <row r="241" spans="1:16">
      <c r="A241" t="s">
        <v>868</v>
      </c>
      <c r="B241">
        <v>6.9995000000000002E-2</v>
      </c>
      <c r="C241">
        <v>6.6000000000000003E-2</v>
      </c>
      <c r="D241">
        <v>184.01596332</v>
      </c>
      <c r="E241">
        <v>6.9000000000000006E-2</v>
      </c>
      <c r="F241">
        <v>12.55951705</v>
      </c>
      <c r="G241" t="s">
        <v>1446</v>
      </c>
      <c r="H241">
        <v>6.8000000000000005E-2</v>
      </c>
      <c r="I241">
        <v>6.9991999999999999E-2</v>
      </c>
      <c r="J241">
        <v>89</v>
      </c>
      <c r="K241">
        <v>254</v>
      </c>
      <c r="L241">
        <v>6.6021999999999997E-2</v>
      </c>
      <c r="M241" t="s">
        <v>869</v>
      </c>
      <c r="N241" s="29" t="str">
        <f>LOWER(CONCATENATE("bittrex:",SUBSTITUTE(bittrex[[#This Row],[Column1.MarketName]],"-","")))</f>
        <v>bittrex:ethtime</v>
      </c>
      <c r="O241" s="26" t="str">
        <f>LOWER(CONCATENATE(SUBSTITUTE(bittrex[[#This Row],[Column1.MarketName]],"-","")))</f>
        <v>ethtime</v>
      </c>
      <c r="P241" s="35">
        <f>bittrex[[#This Row],[Column1.Last]]</f>
        <v>6.9000000000000006E-2</v>
      </c>
    </row>
    <row r="242" spans="1:16">
      <c r="A242" t="s">
        <v>870</v>
      </c>
      <c r="B242">
        <v>5.4999899999999997E-3</v>
      </c>
      <c r="C242">
        <v>4.62014E-3</v>
      </c>
      <c r="D242">
        <v>38059.308323669997</v>
      </c>
      <c r="E242">
        <v>5.23092E-3</v>
      </c>
      <c r="F242">
        <v>187.58599533</v>
      </c>
      <c r="G242" t="s">
        <v>1340</v>
      </c>
      <c r="H242">
        <v>5.0077400000000001E-3</v>
      </c>
      <c r="I242">
        <v>5.2443899999999998E-3</v>
      </c>
      <c r="J242">
        <v>168</v>
      </c>
      <c r="K242">
        <v>392</v>
      </c>
      <c r="L242">
        <v>4.8981700000000003E-3</v>
      </c>
      <c r="M242" t="s">
        <v>871</v>
      </c>
      <c r="N242" s="29" t="str">
        <f>LOWER(CONCATENATE("bittrex:",SUBSTITUTE(bittrex[[#This Row],[Column1.MarketName]],"-","")))</f>
        <v>bittrex:ethtkn</v>
      </c>
      <c r="O242" s="26" t="str">
        <f>LOWER(CONCATENATE(SUBSTITUTE(bittrex[[#This Row],[Column1.MarketName]],"-","")))</f>
        <v>ethtkn</v>
      </c>
      <c r="P242" s="35">
        <f>bittrex[[#This Row],[Column1.Last]]</f>
        <v>5.23092E-3</v>
      </c>
    </row>
    <row r="243" spans="1:16">
      <c r="A243" t="s">
        <v>872</v>
      </c>
      <c r="B243">
        <v>9.1330999999999997E-4</v>
      </c>
      <c r="C243">
        <v>8.1999999999999998E-4</v>
      </c>
      <c r="D243">
        <v>93537.549918039993</v>
      </c>
      <c r="E243">
        <v>8.7414000000000003E-4</v>
      </c>
      <c r="F243">
        <v>82.868046570000004</v>
      </c>
      <c r="G243" t="s">
        <v>1462</v>
      </c>
      <c r="H243">
        <v>8.6063000000000003E-4</v>
      </c>
      <c r="I243">
        <v>8.8838999999999997E-4</v>
      </c>
      <c r="J243">
        <v>107</v>
      </c>
      <c r="K243">
        <v>209</v>
      </c>
      <c r="L243">
        <v>8.8287999999999995E-4</v>
      </c>
      <c r="M243" t="s">
        <v>873</v>
      </c>
      <c r="N243" s="29" t="str">
        <f>LOWER(CONCATENATE("bittrex:",SUBSTITUTE(bittrex[[#This Row],[Column1.MarketName]],"-","")))</f>
        <v>bittrex:ethtrst</v>
      </c>
      <c r="O243" s="26" t="str">
        <f>LOWER(CONCATENATE(SUBSTITUTE(bittrex[[#This Row],[Column1.MarketName]],"-","")))</f>
        <v>ethtrst</v>
      </c>
      <c r="P243" s="35">
        <f>bittrex[[#This Row],[Column1.Last]]</f>
        <v>8.7414000000000003E-4</v>
      </c>
    </row>
    <row r="244" spans="1:16">
      <c r="A244" t="s">
        <v>874</v>
      </c>
      <c r="B244">
        <v>1.546087E-2</v>
      </c>
      <c r="C244">
        <v>1.440001E-2</v>
      </c>
      <c r="D244">
        <v>20646.079079030002</v>
      </c>
      <c r="E244">
        <v>1.5137400000000001E-2</v>
      </c>
      <c r="F244">
        <v>308.23554085000001</v>
      </c>
      <c r="G244" t="s">
        <v>1463</v>
      </c>
      <c r="H244">
        <v>1.4837410000000001E-2</v>
      </c>
      <c r="I244">
        <v>1.5129790000000001E-2</v>
      </c>
      <c r="J244">
        <v>101</v>
      </c>
      <c r="K244">
        <v>259</v>
      </c>
      <c r="L244">
        <v>1.51916E-2</v>
      </c>
      <c r="M244" t="s">
        <v>875</v>
      </c>
      <c r="N244" s="29" t="str">
        <f>LOWER(CONCATENATE("bittrex:",SUBSTITUTE(bittrex[[#This Row],[Column1.MarketName]],"-","")))</f>
        <v>bittrex:ethwaves</v>
      </c>
      <c r="O244" s="26" t="str">
        <f>LOWER(CONCATENATE(SUBSTITUTE(bittrex[[#This Row],[Column1.MarketName]],"-","")))</f>
        <v>ethwaves</v>
      </c>
      <c r="P244" s="35">
        <f>bittrex[[#This Row],[Column1.Last]]</f>
        <v>1.5137400000000001E-2</v>
      </c>
    </row>
    <row r="245" spans="1:16">
      <c r="A245" t="s">
        <v>876</v>
      </c>
      <c r="B245">
        <v>2.33738E-3</v>
      </c>
      <c r="C245">
        <v>2.0490999999999999E-3</v>
      </c>
      <c r="D245">
        <v>38461.787065949997</v>
      </c>
      <c r="E245">
        <v>2.2555499999999998E-3</v>
      </c>
      <c r="F245">
        <v>83.976594259999999</v>
      </c>
      <c r="G245" t="s">
        <v>1464</v>
      </c>
      <c r="H245">
        <v>2.2049999999999999E-3</v>
      </c>
      <c r="I245">
        <v>2.2713199999999998E-3</v>
      </c>
      <c r="J245">
        <v>116</v>
      </c>
      <c r="K245">
        <v>270</v>
      </c>
      <c r="L245">
        <v>2.2175300000000001E-3</v>
      </c>
      <c r="M245" t="s">
        <v>877</v>
      </c>
      <c r="N245" s="29" t="str">
        <f>LOWER(CONCATENATE("bittrex:",SUBSTITUTE(bittrex[[#This Row],[Column1.MarketName]],"-","")))</f>
        <v>bittrex:ethwings</v>
      </c>
      <c r="O245" s="26" t="str">
        <f>LOWER(CONCATENATE(SUBSTITUTE(bittrex[[#This Row],[Column1.MarketName]],"-","")))</f>
        <v>ethwings</v>
      </c>
      <c r="P245" s="35">
        <f>bittrex[[#This Row],[Column1.Last]]</f>
        <v>2.2555499999999998E-3</v>
      </c>
    </row>
    <row r="246" spans="1:16">
      <c r="A246" t="s">
        <v>878</v>
      </c>
      <c r="B246">
        <v>9.1412999999999998E-4</v>
      </c>
      <c r="C246">
        <v>8.7003000000000004E-4</v>
      </c>
      <c r="D246">
        <v>113902.24898449999</v>
      </c>
      <c r="E246">
        <v>8.8000000000000003E-4</v>
      </c>
      <c r="F246">
        <v>101.40907382</v>
      </c>
      <c r="G246" t="s">
        <v>1465</v>
      </c>
      <c r="H246">
        <v>8.7540999999999997E-4</v>
      </c>
      <c r="I246">
        <v>8.9499000000000002E-4</v>
      </c>
      <c r="J246">
        <v>174</v>
      </c>
      <c r="K246">
        <v>217</v>
      </c>
      <c r="L246">
        <v>8.9797E-4</v>
      </c>
      <c r="M246" t="s">
        <v>879</v>
      </c>
      <c r="N246" s="29" t="str">
        <f>LOWER(CONCATENATE("bittrex:",SUBSTITUTE(bittrex[[#This Row],[Column1.MarketName]],"-","")))</f>
        <v>bittrex:ethxem</v>
      </c>
      <c r="O246" s="26" t="str">
        <f>LOWER(CONCATENATE(SUBSTITUTE(bittrex[[#This Row],[Column1.MarketName]],"-","")))</f>
        <v>ethxem</v>
      </c>
      <c r="P246" s="35">
        <f>bittrex[[#This Row],[Column1.Last]]</f>
        <v>8.8000000000000003E-4</v>
      </c>
    </row>
    <row r="247" spans="1:16">
      <c r="A247" t="s">
        <v>880</v>
      </c>
      <c r="B247">
        <v>6.2100000000000005E-5</v>
      </c>
      <c r="C247">
        <v>5.9190000000000001E-5</v>
      </c>
      <c r="D247">
        <v>139516.41742834001</v>
      </c>
      <c r="E247">
        <v>6.1989999999999994E-5</v>
      </c>
      <c r="F247">
        <v>8.4523634300000001</v>
      </c>
      <c r="G247" t="s">
        <v>1466</v>
      </c>
      <c r="H247">
        <v>6.0569999999999998E-5</v>
      </c>
      <c r="I247">
        <v>6.2000000000000003E-5</v>
      </c>
      <c r="J247">
        <v>98</v>
      </c>
      <c r="K247">
        <v>227</v>
      </c>
      <c r="L247">
        <v>5.9580000000000002E-5</v>
      </c>
      <c r="M247" t="s">
        <v>879</v>
      </c>
      <c r="N247" s="29" t="str">
        <f>LOWER(CONCATENATE("bittrex:",SUBSTITUTE(bittrex[[#This Row],[Column1.MarketName]],"-","")))</f>
        <v>bittrex:ethxlm</v>
      </c>
      <c r="O247" s="26" t="str">
        <f>LOWER(CONCATENATE(SUBSTITUTE(bittrex[[#This Row],[Column1.MarketName]],"-","")))</f>
        <v>ethxlm</v>
      </c>
      <c r="P247" s="35">
        <f>bittrex[[#This Row],[Column1.Last]]</f>
        <v>6.1989999999999994E-5</v>
      </c>
    </row>
    <row r="248" spans="1:16">
      <c r="A248" t="s">
        <v>881</v>
      </c>
      <c r="B248">
        <v>0.373</v>
      </c>
      <c r="C248">
        <v>0.35846085</v>
      </c>
      <c r="D248">
        <v>1152.63672954</v>
      </c>
      <c r="E248">
        <v>0.36799999999999999</v>
      </c>
      <c r="F248">
        <v>419.43900779000001</v>
      </c>
      <c r="G248" t="s">
        <v>1467</v>
      </c>
      <c r="H248">
        <v>0.36730009000000002</v>
      </c>
      <c r="I248">
        <v>0.36994374000000002</v>
      </c>
      <c r="J248">
        <v>197</v>
      </c>
      <c r="K248">
        <v>281</v>
      </c>
      <c r="L248">
        <v>0.36848615000000001</v>
      </c>
      <c r="M248" t="s">
        <v>882</v>
      </c>
      <c r="N248" s="29" t="str">
        <f>LOWER(CONCATENATE("bittrex:",SUBSTITUTE(bittrex[[#This Row],[Column1.MarketName]],"-","")))</f>
        <v>bittrex:ethxmr</v>
      </c>
      <c r="O248" s="26" t="str">
        <f>LOWER(CONCATENATE(SUBSTITUTE(bittrex[[#This Row],[Column1.MarketName]],"-","")))</f>
        <v>ethxmr</v>
      </c>
      <c r="P248" s="35">
        <f>bittrex[[#This Row],[Column1.Last]]</f>
        <v>0.36799999999999999</v>
      </c>
    </row>
    <row r="249" spans="1:16">
      <c r="A249" t="s">
        <v>883</v>
      </c>
      <c r="B249">
        <v>6.9205999999999998E-4</v>
      </c>
      <c r="C249">
        <v>6.7387000000000002E-4</v>
      </c>
      <c r="D249">
        <v>1938178.5542043999</v>
      </c>
      <c r="E249">
        <v>6.8000000000000005E-4</v>
      </c>
      <c r="F249">
        <v>1326.4174744899999</v>
      </c>
      <c r="G249" t="s">
        <v>1468</v>
      </c>
      <c r="H249">
        <v>6.8000000000000005E-4</v>
      </c>
      <c r="I249">
        <v>6.8000999999999999E-4</v>
      </c>
      <c r="J249">
        <v>338</v>
      </c>
      <c r="K249">
        <v>762</v>
      </c>
      <c r="L249">
        <v>6.8415000000000001E-4</v>
      </c>
      <c r="M249" t="s">
        <v>884</v>
      </c>
      <c r="N249" s="29" t="str">
        <f>LOWER(CONCATENATE("bittrex:",SUBSTITUTE(bittrex[[#This Row],[Column1.MarketName]],"-","")))</f>
        <v>bittrex:ethxrp</v>
      </c>
      <c r="O249" s="26" t="str">
        <f>LOWER(CONCATENATE(SUBSTITUTE(bittrex[[#This Row],[Column1.MarketName]],"-","")))</f>
        <v>ethxrp</v>
      </c>
      <c r="P249" s="35">
        <f>bittrex[[#This Row],[Column1.Last]]</f>
        <v>6.8000000000000005E-4</v>
      </c>
    </row>
    <row r="250" spans="1:16">
      <c r="A250" t="s">
        <v>885</v>
      </c>
      <c r="B250">
        <v>0.75449999999999995</v>
      </c>
      <c r="C250">
        <v>0.72030000000000005</v>
      </c>
      <c r="D250">
        <v>463.78651939000002</v>
      </c>
      <c r="E250">
        <v>0.73301000000000005</v>
      </c>
      <c r="F250">
        <v>341.99604298999998</v>
      </c>
      <c r="G250" t="s">
        <v>1469</v>
      </c>
      <c r="H250">
        <v>0.73309999999999997</v>
      </c>
      <c r="I250">
        <v>0.73899999000000005</v>
      </c>
      <c r="J250">
        <v>182</v>
      </c>
      <c r="K250">
        <v>394</v>
      </c>
      <c r="L250">
        <v>0.73000034000000003</v>
      </c>
      <c r="M250" t="s">
        <v>886</v>
      </c>
      <c r="N250" s="29" t="str">
        <f>LOWER(CONCATENATE("bittrex:",SUBSTITUTE(bittrex[[#This Row],[Column1.MarketName]],"-","")))</f>
        <v>bittrex:ethzec</v>
      </c>
      <c r="O250" s="26" t="str">
        <f>LOWER(CONCATENATE(SUBSTITUTE(bittrex[[#This Row],[Column1.MarketName]],"-","")))</f>
        <v>ethzec</v>
      </c>
      <c r="P250" s="35">
        <f>bittrex[[#This Row],[Column1.Last]]</f>
        <v>0.73301000000000005</v>
      </c>
    </row>
    <row r="251" spans="1:16">
      <c r="A251" t="s">
        <v>887</v>
      </c>
      <c r="B251">
        <v>722.00000001000001</v>
      </c>
      <c r="C251">
        <v>616.42290000000003</v>
      </c>
      <c r="D251">
        <v>7870.5260344199996</v>
      </c>
      <c r="E251">
        <v>680.00000025999998</v>
      </c>
      <c r="F251">
        <v>5336636.7806967096</v>
      </c>
      <c r="G251" t="s">
        <v>1470</v>
      </c>
      <c r="H251">
        <v>682.00000001000001</v>
      </c>
      <c r="I251">
        <v>683</v>
      </c>
      <c r="J251">
        <v>929</v>
      </c>
      <c r="K251">
        <v>1447</v>
      </c>
      <c r="L251">
        <v>628.99</v>
      </c>
      <c r="M251" t="s">
        <v>888</v>
      </c>
      <c r="N251" s="29" t="str">
        <f>LOWER(CONCATENATE("bittrex:",SUBSTITUTE(bittrex[[#This Row],[Column1.MarketName]],"-","")))</f>
        <v>bittrex:usdtbcc</v>
      </c>
      <c r="O251" s="26" t="str">
        <f>LOWER(CONCATENATE(SUBSTITUTE(bittrex[[#This Row],[Column1.MarketName]],"-","")))</f>
        <v>usdtbcc</v>
      </c>
      <c r="P251" s="35">
        <f>bittrex[[#This Row],[Column1.Last]]</f>
        <v>680.00000025999998</v>
      </c>
    </row>
    <row r="252" spans="1:16">
      <c r="A252" t="s">
        <v>889</v>
      </c>
      <c r="B252">
        <v>4699</v>
      </c>
      <c r="C252">
        <v>4430.9999999900001</v>
      </c>
      <c r="D252">
        <v>5844.8910623000002</v>
      </c>
      <c r="E252">
        <v>4561.0000000099999</v>
      </c>
      <c r="F252">
        <v>26917680.988446079</v>
      </c>
      <c r="G252" t="s">
        <v>1471</v>
      </c>
      <c r="H252">
        <v>4561.0000000099999</v>
      </c>
      <c r="I252">
        <v>4580</v>
      </c>
      <c r="J252">
        <v>4582</v>
      </c>
      <c r="K252">
        <v>1978</v>
      </c>
      <c r="L252">
        <v>4545.6099999999997</v>
      </c>
      <c r="M252" t="s">
        <v>890</v>
      </c>
      <c r="N252" s="29" t="str">
        <f>LOWER(CONCATENATE("bittrex:",SUBSTITUTE(bittrex[[#This Row],[Column1.MarketName]],"-","")))</f>
        <v>bittrex:usdtbtc</v>
      </c>
      <c r="O252" s="26" t="str">
        <f>LOWER(CONCATENATE(SUBSTITUTE(bittrex[[#This Row],[Column1.MarketName]],"-","")))</f>
        <v>usdtbtc</v>
      </c>
      <c r="P252" s="35">
        <f>bittrex[[#This Row],[Column1.Last]]</f>
        <v>4561.0000000099999</v>
      </c>
    </row>
    <row r="253" spans="1:16">
      <c r="A253" t="s">
        <v>891</v>
      </c>
      <c r="B253">
        <v>352</v>
      </c>
      <c r="C253">
        <v>334</v>
      </c>
      <c r="D253">
        <v>354.16555367000001</v>
      </c>
      <c r="E253">
        <v>345</v>
      </c>
      <c r="F253">
        <v>121972.93049504999</v>
      </c>
      <c r="G253" t="s">
        <v>1472</v>
      </c>
      <c r="H253">
        <v>345</v>
      </c>
      <c r="I253">
        <v>346.99900000000002</v>
      </c>
      <c r="J253">
        <v>243</v>
      </c>
      <c r="K253">
        <v>300</v>
      </c>
      <c r="L253">
        <v>337.00000111000003</v>
      </c>
      <c r="M253" t="s">
        <v>892</v>
      </c>
      <c r="N253" s="29" t="str">
        <f>LOWER(CONCATENATE("bittrex:",SUBSTITUTE(bittrex[[#This Row],[Column1.MarketName]],"-","")))</f>
        <v>bittrex:usdtdash</v>
      </c>
      <c r="O253" s="26" t="str">
        <f>LOWER(CONCATENATE(SUBSTITUTE(bittrex[[#This Row],[Column1.MarketName]],"-","")))</f>
        <v>usdtdash</v>
      </c>
      <c r="P253" s="35">
        <f>bittrex[[#This Row],[Column1.Last]]</f>
        <v>345</v>
      </c>
    </row>
    <row r="254" spans="1:16">
      <c r="A254" t="s">
        <v>893</v>
      </c>
      <c r="B254">
        <v>18.897339930000001</v>
      </c>
      <c r="C254">
        <v>18.100000000000001</v>
      </c>
      <c r="D254">
        <v>36304.424252650002</v>
      </c>
      <c r="E254">
        <v>18.202000000000002</v>
      </c>
      <c r="F254">
        <v>672904.63890728005</v>
      </c>
      <c r="G254" t="s">
        <v>1473</v>
      </c>
      <c r="H254">
        <v>18.202000000000002</v>
      </c>
      <c r="I254">
        <v>18.202000009999999</v>
      </c>
      <c r="J254">
        <v>432</v>
      </c>
      <c r="K254">
        <v>826</v>
      </c>
      <c r="L254">
        <v>18.5</v>
      </c>
      <c r="M254" t="s">
        <v>894</v>
      </c>
      <c r="N254" s="29" t="str">
        <f>LOWER(CONCATENATE("bittrex:",SUBSTITUTE(bittrex[[#This Row],[Column1.MarketName]],"-","")))</f>
        <v>bittrex:usdtetc</v>
      </c>
      <c r="O254" s="26" t="str">
        <f>LOWER(CONCATENATE(SUBSTITUTE(bittrex[[#This Row],[Column1.MarketName]],"-","")))</f>
        <v>usdtetc</v>
      </c>
      <c r="P254" s="35">
        <f>bittrex[[#This Row],[Column1.Last]]</f>
        <v>18.202000000000002</v>
      </c>
    </row>
    <row r="255" spans="1:16">
      <c r="A255" t="s">
        <v>895</v>
      </c>
      <c r="B255">
        <v>338.49999998999999</v>
      </c>
      <c r="C255">
        <v>322</v>
      </c>
      <c r="D255">
        <v>15699.349390290001</v>
      </c>
      <c r="E255">
        <v>330</v>
      </c>
      <c r="F255">
        <v>5196578.5457901703</v>
      </c>
      <c r="G255" t="s">
        <v>1474</v>
      </c>
      <c r="H255">
        <v>329.99</v>
      </c>
      <c r="I255">
        <v>330</v>
      </c>
      <c r="J255">
        <v>1424</v>
      </c>
      <c r="K255">
        <v>1641</v>
      </c>
      <c r="L255">
        <v>329.63799999999998</v>
      </c>
      <c r="M255" t="s">
        <v>896</v>
      </c>
      <c r="N255" s="29" t="str">
        <f>LOWER(CONCATENATE("bittrex:",SUBSTITUTE(bittrex[[#This Row],[Column1.MarketName]],"-","")))</f>
        <v>bittrex:usdteth</v>
      </c>
      <c r="O255" s="26" t="str">
        <f>LOWER(CONCATENATE(SUBSTITUTE(bittrex[[#This Row],[Column1.MarketName]],"-","")))</f>
        <v>usdteth</v>
      </c>
      <c r="P255" s="35">
        <f>bittrex[[#This Row],[Column1.Last]]</f>
        <v>330</v>
      </c>
    </row>
    <row r="256" spans="1:16">
      <c r="A256" t="s">
        <v>897</v>
      </c>
      <c r="B256">
        <v>83.199999899999995</v>
      </c>
      <c r="C256">
        <v>77.162999999999997</v>
      </c>
      <c r="D256">
        <v>26362.444741809999</v>
      </c>
      <c r="E256">
        <v>79.801000009999996</v>
      </c>
      <c r="F256">
        <v>2110469.6874065301</v>
      </c>
      <c r="G256" t="s">
        <v>1475</v>
      </c>
      <c r="H256">
        <v>79.801000009999996</v>
      </c>
      <c r="I256">
        <v>80</v>
      </c>
      <c r="J256">
        <v>721</v>
      </c>
      <c r="K256">
        <v>823</v>
      </c>
      <c r="L256">
        <v>78.966999999999999</v>
      </c>
      <c r="M256" t="s">
        <v>894</v>
      </c>
      <c r="N256" s="29" t="str">
        <f>LOWER(CONCATENATE("bittrex:",SUBSTITUTE(bittrex[[#This Row],[Column1.MarketName]],"-","")))</f>
        <v>bittrex:usdtltc</v>
      </c>
      <c r="O256" s="26" t="str">
        <f>LOWER(CONCATENATE(SUBSTITUTE(bittrex[[#This Row],[Column1.MarketName]],"-","")))</f>
        <v>usdtltc</v>
      </c>
      <c r="P256" s="35">
        <f>bittrex[[#This Row],[Column1.Last]]</f>
        <v>79.801000009999996</v>
      </c>
    </row>
    <row r="257" spans="1:16">
      <c r="A257" t="s">
        <v>898</v>
      </c>
      <c r="B257">
        <v>34</v>
      </c>
      <c r="C257">
        <v>21.6</v>
      </c>
      <c r="D257">
        <v>587737.92402564001</v>
      </c>
      <c r="E257">
        <v>30.380855</v>
      </c>
      <c r="F257">
        <v>16841895.270762678</v>
      </c>
      <c r="G257" t="s">
        <v>1299</v>
      </c>
      <c r="H257">
        <v>30.380855</v>
      </c>
      <c r="I257">
        <v>30.47149692</v>
      </c>
      <c r="J257">
        <v>1675</v>
      </c>
      <c r="K257">
        <v>3413</v>
      </c>
      <c r="L257">
        <v>21.635000000000002</v>
      </c>
      <c r="M257" t="s">
        <v>899</v>
      </c>
      <c r="N257" s="29" t="str">
        <f>LOWER(CONCATENATE("bittrex:",SUBSTITUTE(bittrex[[#This Row],[Column1.MarketName]],"-","")))</f>
        <v>bittrex:usdtneo</v>
      </c>
      <c r="O257" s="26" t="str">
        <f>LOWER(CONCATENATE(SUBSTITUTE(bittrex[[#This Row],[Column1.MarketName]],"-","")))</f>
        <v>usdtneo</v>
      </c>
      <c r="P257" s="35">
        <f>bittrex[[#This Row],[Column1.Last]]</f>
        <v>30.380855</v>
      </c>
    </row>
    <row r="258" spans="1:16" ht="14.4" thickBot="1">
      <c r="A258" t="s">
        <v>900</v>
      </c>
      <c r="B258">
        <v>125</v>
      </c>
      <c r="C258">
        <v>116.00100011000001</v>
      </c>
      <c r="D258">
        <v>4897.9454404600001</v>
      </c>
      <c r="E258">
        <v>121.29900000000001</v>
      </c>
      <c r="F258">
        <v>592761.97356989002</v>
      </c>
      <c r="G258" t="s">
        <v>1476</v>
      </c>
      <c r="H258">
        <v>121.2819629</v>
      </c>
      <c r="I258">
        <v>122.283</v>
      </c>
      <c r="J258">
        <v>339</v>
      </c>
      <c r="K258">
        <v>594</v>
      </c>
      <c r="L258">
        <v>118.5</v>
      </c>
      <c r="M258" t="s">
        <v>844</v>
      </c>
      <c r="N258" s="29" t="str">
        <f>LOWER(CONCATENATE("bittrex:",SUBSTITUTE(bittrex[[#This Row],[Column1.MarketName]],"-","")))</f>
        <v>bittrex:usdtxmr</v>
      </c>
      <c r="O258" s="32" t="str">
        <f>LOWER(CONCATENATE(SUBSTITUTE(bittrex[[#This Row],[Column1.MarketName]],"-","")))</f>
        <v>usdtxmr</v>
      </c>
      <c r="P258" s="35">
        <f>bittrex[[#This Row],[Column1.Last]]</f>
        <v>121.29900000000001</v>
      </c>
    </row>
    <row r="259" spans="1:16">
      <c r="A259" t="s">
        <v>901</v>
      </c>
      <c r="B259">
        <v>0.23375355</v>
      </c>
      <c r="C259">
        <v>0.22100001</v>
      </c>
      <c r="D259">
        <v>4933848.1711518196</v>
      </c>
      <c r="E259">
        <v>0.22600000000000001</v>
      </c>
      <c r="F259">
        <v>1117901.3860358701</v>
      </c>
      <c r="G259" t="s">
        <v>1477</v>
      </c>
      <c r="H259">
        <v>0.22424201999999999</v>
      </c>
      <c r="I259">
        <v>0.22600000000000001</v>
      </c>
      <c r="J259">
        <v>608</v>
      </c>
      <c r="K259">
        <v>1417</v>
      </c>
      <c r="L259">
        <v>0.223</v>
      </c>
      <c r="M259" t="s">
        <v>902</v>
      </c>
      <c r="N259" s="46" t="str">
        <f>LOWER(CONCATENATE("bittrex:",SUBSTITUTE(bittrex[[#This Row],[Column1.MarketName]],"-","")))</f>
        <v>bittrex:usdtxrp</v>
      </c>
      <c r="O259" s="47" t="str">
        <f>LOWER(CONCATENATE(SUBSTITUTE(bittrex[[#This Row],[Column1.MarketName]],"-","")))</f>
        <v>usdtxrp</v>
      </c>
      <c r="P259" s="48">
        <f>bittrex[[#This Row],[Column1.Last]]</f>
        <v>0.22600000000000001</v>
      </c>
    </row>
    <row r="260" spans="1:16">
      <c r="A260" t="s">
        <v>903</v>
      </c>
      <c r="B260">
        <v>251.52</v>
      </c>
      <c r="C260">
        <v>235.97499999999999</v>
      </c>
      <c r="D260">
        <v>1107.6933002000001</v>
      </c>
      <c r="E260">
        <v>244.64</v>
      </c>
      <c r="F260">
        <v>269301.30380643002</v>
      </c>
      <c r="G260" t="s">
        <v>1294</v>
      </c>
      <c r="H260">
        <v>241.27654999999999</v>
      </c>
      <c r="I260">
        <v>243.607</v>
      </c>
      <c r="J260">
        <v>288</v>
      </c>
      <c r="K260">
        <v>770</v>
      </c>
      <c r="L260">
        <v>242.55</v>
      </c>
      <c r="M260" t="s">
        <v>904</v>
      </c>
      <c r="N260" s="46" t="str">
        <f>LOWER(CONCATENATE("bittrex:",SUBSTITUTE(bittrex[[#This Row],[Column1.MarketName]],"-","")))</f>
        <v>bittrex:usdtzec</v>
      </c>
      <c r="O260" s="47" t="str">
        <f>LOWER(CONCATENATE(SUBSTITUTE(bittrex[[#This Row],[Column1.MarketName]],"-","")))</f>
        <v>usdtzec</v>
      </c>
      <c r="P260" s="48">
        <f>bittrex[[#This Row],[Column1.Last]]</f>
        <v>244.64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B33"/>
  <sheetViews>
    <sheetView workbookViewId="0">
      <selection sqref="A1:B1048576"/>
    </sheetView>
  </sheetViews>
  <sheetFormatPr defaultRowHeight="13.8"/>
  <sheetData>
    <row r="1" spans="1:2">
      <c r="A1" t="s">
        <v>17</v>
      </c>
      <c r="B1" t="s">
        <v>79</v>
      </c>
    </row>
    <row r="2" spans="1:2">
      <c r="A2" t="str">
        <f>'REF-CryptoWat'!F5</f>
        <v>bccbtc</v>
      </c>
      <c r="B2">
        <f>'REF-CryptoWat'!G5</f>
        <v>0.87990000000000002</v>
      </c>
    </row>
    <row r="3" spans="1:2">
      <c r="A3" t="str">
        <f>'REF-CryptoWat'!F6</f>
        <v>bccusd</v>
      </c>
      <c r="B3">
        <f>'REF-CryptoWat'!G6</f>
        <v>3800</v>
      </c>
    </row>
    <row r="4" spans="1:2">
      <c r="A4" t="str">
        <f>'REF-CryptoWat'!F7</f>
        <v>bchbtc</v>
      </c>
      <c r="B4">
        <f>'REF-CryptoWat'!G7</f>
        <v>0.14299999999999999</v>
      </c>
    </row>
    <row r="5" spans="1:2">
      <c r="A5" t="str">
        <f>'REF-CryptoWat'!F8</f>
        <v>bcheth</v>
      </c>
      <c r="B5">
        <f>'REF-CryptoWat'!G8</f>
        <v>1.9883</v>
      </c>
    </row>
    <row r="6" spans="1:2">
      <c r="A6" t="str">
        <f>'REF-CryptoWat'!F9</f>
        <v>bchusd</v>
      </c>
      <c r="B6">
        <f>'REF-CryptoWat'!G9</f>
        <v>658.92</v>
      </c>
    </row>
    <row r="7" spans="1:2">
      <c r="A7" t="str">
        <f>'REF-CryptoWat'!F10</f>
        <v>bcubtc</v>
      </c>
      <c r="B7">
        <f>'REF-CryptoWat'!G10</f>
        <v>0.15498999999999999</v>
      </c>
    </row>
    <row r="8" spans="1:2">
      <c r="A8" t="str">
        <f>'REF-CryptoWat'!F11</f>
        <v>bcuusd</v>
      </c>
      <c r="B8">
        <f>'REF-CryptoWat'!G11</f>
        <v>640</v>
      </c>
    </row>
    <row r="9" spans="1:2">
      <c r="A9" t="str">
        <f>'REF-CryptoWat'!F12</f>
        <v>bfxusd</v>
      </c>
      <c r="B9">
        <f>'REF-CryptoWat'!G12</f>
        <v>0.99980000000000002</v>
      </c>
    </row>
    <row r="10" spans="1:2">
      <c r="A10" t="str">
        <f>'REF-CryptoWat'!F13</f>
        <v>btcusd</v>
      </c>
      <c r="B10">
        <f>'REF-CryptoWat'!G13</f>
        <v>4603</v>
      </c>
    </row>
    <row r="11" spans="1:2">
      <c r="A11" t="str">
        <f>'REF-CryptoWat'!F14</f>
        <v>dashbtc</v>
      </c>
      <c r="B11">
        <f>'REF-CryptoWat'!G14</f>
        <v>7.4440999999999993E-2</v>
      </c>
    </row>
    <row r="12" spans="1:2">
      <c r="A12" t="str">
        <f>'REF-CryptoWat'!F15</f>
        <v>dashusd</v>
      </c>
      <c r="B12">
        <f>'REF-CryptoWat'!G15</f>
        <v>344</v>
      </c>
    </row>
    <row r="13" spans="1:2">
      <c r="A13" t="str">
        <f>'REF-CryptoWat'!F16</f>
        <v>eosbtc</v>
      </c>
      <c r="B13">
        <f>'REF-CryptoWat'!G16</f>
        <v>2.0939999999999999E-4</v>
      </c>
    </row>
    <row r="14" spans="1:2">
      <c r="A14" t="str">
        <f>'REF-CryptoWat'!F17</f>
        <v>eoseth</v>
      </c>
      <c r="B14">
        <f>'REF-CryptoWat'!G17</f>
        <v>2.9069999999999999E-3</v>
      </c>
    </row>
    <row r="15" spans="1:2">
      <c r="A15" t="str">
        <f>'REF-CryptoWat'!F18</f>
        <v>eosusd</v>
      </c>
      <c r="B15">
        <f>'REF-CryptoWat'!G18</f>
        <v>0.96650000000000003</v>
      </c>
    </row>
    <row r="16" spans="1:2">
      <c r="A16" t="str">
        <f>'REF-CryptoWat'!F19</f>
        <v>etcbtc</v>
      </c>
      <c r="B16">
        <f>'REF-CryptoWat'!G19</f>
        <v>3.9947999999999997E-3</v>
      </c>
    </row>
    <row r="17" spans="1:2">
      <c r="A17" t="str">
        <f>'REF-CryptoWat'!F20</f>
        <v>etcusd</v>
      </c>
      <c r="B17">
        <f>'REF-CryptoWat'!G20</f>
        <v>18.367999999999999</v>
      </c>
    </row>
    <row r="18" spans="1:2">
      <c r="A18" t="str">
        <f>'REF-CryptoWat'!F21</f>
        <v>ethbtc</v>
      </c>
      <c r="B18">
        <f>'REF-CryptoWat'!G21</f>
        <v>7.2500999999999996E-2</v>
      </c>
    </row>
    <row r="19" spans="1:2">
      <c r="A19" t="str">
        <f>'REF-CryptoWat'!F22</f>
        <v>ethusd</v>
      </c>
      <c r="B19">
        <f>'REF-CryptoWat'!G22</f>
        <v>333.37</v>
      </c>
    </row>
    <row r="20" spans="1:2">
      <c r="A20" t="str">
        <f>'REF-CryptoWat'!F23</f>
        <v>iotbtc</v>
      </c>
      <c r="B20">
        <f>'REF-CryptoWat'!G23</f>
        <v>1.4009999999999999E-4</v>
      </c>
    </row>
    <row r="21" spans="1:2">
      <c r="A21" t="str">
        <f>'REF-CryptoWat'!F24</f>
        <v>ioteth</v>
      </c>
      <c r="B21">
        <f>'REF-CryptoWat'!G24</f>
        <v>1.9469000000000001E-3</v>
      </c>
    </row>
    <row r="22" spans="1:2">
      <c r="A22" t="str">
        <f>'REF-CryptoWat'!F25</f>
        <v>iotusd</v>
      </c>
      <c r="B22">
        <f>'REF-CryptoWat'!G25</f>
        <v>0.64824000000000004</v>
      </c>
    </row>
    <row r="23" spans="1:2">
      <c r="A23" t="str">
        <f>'REF-CryptoWat'!F26</f>
        <v>ltcbtc</v>
      </c>
      <c r="B23">
        <f>'REF-CryptoWat'!G26</f>
        <v>1.7496999999999999E-2</v>
      </c>
    </row>
    <row r="24" spans="1:2">
      <c r="A24" t="str">
        <f>'REF-CryptoWat'!F27</f>
        <v>ltcusd</v>
      </c>
      <c r="B24">
        <f>'REF-CryptoWat'!G27</f>
        <v>80.459999999999994</v>
      </c>
    </row>
    <row r="25" spans="1:2">
      <c r="A25" t="str">
        <f>'REF-CryptoWat'!F28</f>
        <v>omgbtc</v>
      </c>
      <c r="B25">
        <f>'REF-CryptoWat'!G28</f>
        <v>2.7317000000000001E-3</v>
      </c>
    </row>
    <row r="26" spans="1:2">
      <c r="A26" t="str">
        <f>'REF-CryptoWat'!F29</f>
        <v>omgeth</v>
      </c>
      <c r="B26">
        <f>'REF-CryptoWat'!G29</f>
        <v>3.7925E-2</v>
      </c>
    </row>
    <row r="27" spans="1:2">
      <c r="A27" t="str">
        <f>'REF-CryptoWat'!F30</f>
        <v>omgusd</v>
      </c>
      <c r="B27">
        <f>'REF-CryptoWat'!G30</f>
        <v>12.529</v>
      </c>
    </row>
    <row r="28" spans="1:2">
      <c r="A28" t="str">
        <f>'REF-CryptoWat'!F31</f>
        <v>xmrbtc</v>
      </c>
      <c r="B28">
        <f>'REF-CryptoWat'!G31</f>
        <v>2.5906999999999999E-2</v>
      </c>
    </row>
    <row r="29" spans="1:2">
      <c r="A29" t="str">
        <f>'REF-CryptoWat'!F32</f>
        <v>xmrusd</v>
      </c>
      <c r="B29">
        <f>'REF-CryptoWat'!G32</f>
        <v>119.3</v>
      </c>
    </row>
    <row r="30" spans="1:2">
      <c r="A30" t="str">
        <f>'REF-CryptoWat'!F33</f>
        <v>xrpbtc</v>
      </c>
      <c r="B30">
        <f>'REF-CryptoWat'!G33</f>
        <v>4.9499999999999997E-5</v>
      </c>
    </row>
    <row r="31" spans="1:2">
      <c r="A31" t="str">
        <f>'REF-CryptoWat'!F34</f>
        <v>xrpusd</v>
      </c>
      <c r="B31">
        <f>'REF-CryptoWat'!G34</f>
        <v>0.22789999999999999</v>
      </c>
    </row>
    <row r="32" spans="1:2">
      <c r="A32" t="str">
        <f>'REF-CryptoWat'!F35</f>
        <v>zecbtc</v>
      </c>
      <c r="B32">
        <f>'REF-CryptoWat'!G35</f>
        <v>5.3298999999999999E-2</v>
      </c>
    </row>
    <row r="33" spans="1:2">
      <c r="A33" t="str">
        <f>'REF-CryptoWat'!F36</f>
        <v>zecusd</v>
      </c>
      <c r="B33">
        <f>'REF-CryptoWat'!G36</f>
        <v>245.15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B43"/>
  <sheetViews>
    <sheetView workbookViewId="0">
      <selection activeCell="D5" sqref="D5"/>
    </sheetView>
  </sheetViews>
  <sheetFormatPr defaultRowHeight="13.8"/>
  <cols>
    <col min="2" max="2" width="11.3984375" customWidth="1"/>
  </cols>
  <sheetData>
    <row r="1" spans="1:2">
      <c r="A1" t="s">
        <v>17</v>
      </c>
      <c r="B1" t="s">
        <v>79</v>
      </c>
    </row>
    <row r="2" spans="1:2">
      <c r="A2" s="15" t="s">
        <v>23</v>
      </c>
      <c r="B2" s="16">
        <v>0.14098988000000001</v>
      </c>
    </row>
    <row r="3" spans="1:2">
      <c r="A3" s="17" t="s">
        <v>29</v>
      </c>
      <c r="B3" s="18">
        <v>4599</v>
      </c>
    </row>
    <row r="4" spans="1:2">
      <c r="A4" s="15" t="s">
        <v>30</v>
      </c>
      <c r="B4" s="16">
        <v>3.4600000000000001E-5</v>
      </c>
    </row>
    <row r="5" spans="1:2">
      <c r="A5" s="17" t="s">
        <v>31</v>
      </c>
      <c r="B5" s="18">
        <v>0</v>
      </c>
    </row>
    <row r="6" spans="1:2">
      <c r="A6" s="15" t="s">
        <v>32</v>
      </c>
      <c r="B6" s="16">
        <v>0</v>
      </c>
    </row>
    <row r="7" spans="1:2">
      <c r="A7" s="17" t="s">
        <v>33</v>
      </c>
      <c r="B7" s="18">
        <v>7.5668529999999998E-2</v>
      </c>
    </row>
    <row r="8" spans="1:2">
      <c r="A8" s="15" t="s">
        <v>34</v>
      </c>
      <c r="B8" s="16">
        <v>348</v>
      </c>
    </row>
    <row r="9" spans="1:2">
      <c r="A9" s="17" t="s">
        <v>35</v>
      </c>
      <c r="B9" s="18">
        <v>4.33E-6</v>
      </c>
    </row>
    <row r="10" spans="1:2">
      <c r="A10" s="15" t="s">
        <v>39</v>
      </c>
      <c r="B10" s="16">
        <v>4.0207999999999997E-3</v>
      </c>
    </row>
    <row r="11" spans="1:2">
      <c r="A11" s="17" t="s">
        <v>40</v>
      </c>
      <c r="B11" s="18">
        <v>5.4869319999999999E-2</v>
      </c>
    </row>
    <row r="12" spans="1:2">
      <c r="A12" s="15" t="s">
        <v>41</v>
      </c>
      <c r="B12" s="16">
        <v>18.5</v>
      </c>
    </row>
    <row r="13" spans="1:2">
      <c r="A13" s="17" t="s">
        <v>42</v>
      </c>
      <c r="B13" s="18">
        <v>7.322265E-2</v>
      </c>
    </row>
    <row r="14" spans="1:2">
      <c r="A14" s="15" t="s">
        <v>43</v>
      </c>
      <c r="B14" s="16">
        <v>336.34</v>
      </c>
    </row>
    <row r="15" spans="1:2">
      <c r="A15" s="17" t="s">
        <v>44</v>
      </c>
      <c r="B15" s="18">
        <v>5.7800000000000004E-3</v>
      </c>
    </row>
    <row r="16" spans="1:2">
      <c r="A16" s="15" t="s">
        <v>45</v>
      </c>
      <c r="B16" s="16">
        <v>3.4426199999999997E-2</v>
      </c>
    </row>
    <row r="17" spans="1:2">
      <c r="A17" s="17" t="s">
        <v>46</v>
      </c>
      <c r="B17" s="18">
        <v>0.46707818000000001</v>
      </c>
    </row>
    <row r="18" spans="1:2">
      <c r="A18" s="15" t="s">
        <v>47</v>
      </c>
      <c r="B18" s="16">
        <v>8.3100000000000001E-5</v>
      </c>
    </row>
    <row r="19" spans="1:2">
      <c r="A19" s="17" t="s">
        <v>51</v>
      </c>
      <c r="B19" s="18">
        <v>1.5438100000000001E-3</v>
      </c>
    </row>
    <row r="20" spans="1:2">
      <c r="A20" s="15" t="s">
        <v>52</v>
      </c>
      <c r="B20" s="16">
        <v>2.09581E-2</v>
      </c>
    </row>
    <row r="21" spans="1:2">
      <c r="A21" s="17" t="s">
        <v>53</v>
      </c>
      <c r="B21" s="18">
        <v>1.749999E-2</v>
      </c>
    </row>
    <row r="22" spans="1:2">
      <c r="A22" s="15" t="s">
        <v>54</v>
      </c>
      <c r="B22" s="16">
        <v>80.5</v>
      </c>
    </row>
    <row r="23" spans="1:2">
      <c r="A23" s="17" t="s">
        <v>55</v>
      </c>
      <c r="B23" s="18">
        <v>0.65100020000000003</v>
      </c>
    </row>
    <row r="24" spans="1:2">
      <c r="A24" s="15" t="s">
        <v>56</v>
      </c>
      <c r="B24" s="16">
        <v>1.4652999999999999E-4</v>
      </c>
    </row>
    <row r="25" spans="1:2">
      <c r="A25" s="17" t="s">
        <v>57</v>
      </c>
      <c r="B25" s="18">
        <v>3.6921000000000002E-4</v>
      </c>
    </row>
    <row r="26" spans="1:2">
      <c r="A26" s="15" t="s">
        <v>58</v>
      </c>
      <c r="B26" s="16">
        <v>2.2989999999999998E-5</v>
      </c>
    </row>
    <row r="27" spans="1:2">
      <c r="A27" s="17" t="s">
        <v>59</v>
      </c>
      <c r="B27" s="18">
        <v>0.10499412</v>
      </c>
    </row>
    <row r="28" spans="1:2">
      <c r="A28" s="15" t="s">
        <v>60</v>
      </c>
      <c r="B28" s="16">
        <v>8.6700000000000004E-4</v>
      </c>
    </row>
    <row r="29" spans="1:2">
      <c r="A29" s="17" t="s">
        <v>64</v>
      </c>
      <c r="B29" s="18">
        <v>5.0691399999999998E-3</v>
      </c>
    </row>
    <row r="30" spans="1:2">
      <c r="A30" s="15" t="s">
        <v>65</v>
      </c>
      <c r="B30" s="16">
        <v>6.9789550000000006E-2</v>
      </c>
    </row>
    <row r="31" spans="1:2">
      <c r="A31" s="17" t="s">
        <v>66</v>
      </c>
      <c r="B31" s="18">
        <v>23.293537000000001</v>
      </c>
    </row>
    <row r="32" spans="1:2">
      <c r="A32" s="15" t="s">
        <v>67</v>
      </c>
      <c r="B32" s="16">
        <v>3.2948999999999999E-4</v>
      </c>
    </row>
    <row r="33" spans="1:2">
      <c r="A33" s="17" t="s">
        <v>68</v>
      </c>
      <c r="B33" s="18">
        <v>1.3612800000000001E-3</v>
      </c>
    </row>
    <row r="34" spans="1:2">
      <c r="A34" s="15" t="s">
        <v>69</v>
      </c>
      <c r="B34" s="16">
        <v>4.4700000000000004E-6</v>
      </c>
    </row>
    <row r="35" spans="1:2">
      <c r="A35" s="17" t="s">
        <v>70</v>
      </c>
      <c r="B35" s="18">
        <v>2.0486879999999999E-2</v>
      </c>
    </row>
    <row r="36" spans="1:2">
      <c r="A36" s="15" t="s">
        <v>71</v>
      </c>
      <c r="B36" s="16">
        <v>2.69E-2</v>
      </c>
    </row>
    <row r="37" spans="1:2">
      <c r="A37" s="17" t="s">
        <v>72</v>
      </c>
      <c r="B37" s="18">
        <v>124</v>
      </c>
    </row>
    <row r="38" spans="1:2">
      <c r="A38" s="15" t="s">
        <v>73</v>
      </c>
      <c r="B38" s="16">
        <v>4.9700000000000002E-5</v>
      </c>
    </row>
    <row r="39" spans="1:2">
      <c r="A39" s="17" t="s">
        <v>74</v>
      </c>
      <c r="B39" s="18">
        <v>0.2274351</v>
      </c>
    </row>
    <row r="40" spans="1:2">
      <c r="A40" s="15" t="s">
        <v>75</v>
      </c>
      <c r="B40" s="16">
        <v>5.3611640000000002E-2</v>
      </c>
    </row>
    <row r="41" spans="1:2">
      <c r="A41" s="17" t="s">
        <v>76</v>
      </c>
      <c r="B41" s="18">
        <v>0.74</v>
      </c>
    </row>
    <row r="42" spans="1:2">
      <c r="A42" s="15" t="s">
        <v>77</v>
      </c>
      <c r="B42" s="16">
        <v>247.9</v>
      </c>
    </row>
    <row r="43" spans="1:2">
      <c r="A43" s="19" t="s">
        <v>78</v>
      </c>
      <c r="B43" s="20">
        <v>2.0049546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B258"/>
  <sheetViews>
    <sheetView topLeftCell="A9" workbookViewId="0">
      <selection activeCell="G20" sqref="G20"/>
    </sheetView>
  </sheetViews>
  <sheetFormatPr defaultRowHeight="13.8"/>
  <cols>
    <col min="1" max="1" width="11.296875" customWidth="1"/>
    <col min="2" max="2" width="17.8984375" customWidth="1"/>
  </cols>
  <sheetData>
    <row r="1" spans="1:2">
      <c r="A1" t="s">
        <v>17</v>
      </c>
      <c r="B1" t="s">
        <v>79</v>
      </c>
    </row>
    <row r="2" spans="1:2">
      <c r="A2" t="str">
        <f>'REF-Bittrex'!O2</f>
        <v>btc1st</v>
      </c>
      <c r="B2">
        <f>'REF-Bittrex'!P2</f>
        <v>9.2629999999999999E-5</v>
      </c>
    </row>
    <row r="3" spans="1:2">
      <c r="A3" t="str">
        <f>'REF-Bittrex'!O3</f>
        <v>btc2give</v>
      </c>
      <c r="B3">
        <f>'REF-Bittrex'!P3</f>
        <v>1.2300000000000001E-6</v>
      </c>
    </row>
    <row r="4" spans="1:2">
      <c r="A4" t="str">
        <f>'REF-Bittrex'!O4</f>
        <v>btcaby</v>
      </c>
      <c r="B4">
        <f>'REF-Bittrex'!P4</f>
        <v>1.7099999999999999E-6</v>
      </c>
    </row>
    <row r="5" spans="1:2">
      <c r="A5" t="str">
        <f>'REF-Bittrex'!O5</f>
        <v>btcadt</v>
      </c>
      <c r="B5">
        <f>'REF-Bittrex'!P5</f>
        <v>1.0349999999999999E-5</v>
      </c>
    </row>
    <row r="6" spans="1:2">
      <c r="A6" t="str">
        <f>'REF-Bittrex'!O6</f>
        <v>btcadx</v>
      </c>
      <c r="B6">
        <f>'REF-Bittrex'!P6</f>
        <v>2.086E-4</v>
      </c>
    </row>
    <row r="7" spans="1:2">
      <c r="A7" t="str">
        <f>'REF-Bittrex'!O7</f>
        <v>btcaeon</v>
      </c>
      <c r="B7">
        <f>'REF-Bittrex'!P7</f>
        <v>1.9000000000000001E-4</v>
      </c>
    </row>
    <row r="8" spans="1:2">
      <c r="A8" t="str">
        <f>'REF-Bittrex'!O8</f>
        <v>btcagrs</v>
      </c>
      <c r="B8">
        <f>'REF-Bittrex'!P8</f>
        <v>8.1069999999999995E-5</v>
      </c>
    </row>
    <row r="9" spans="1:2">
      <c r="A9" t="str">
        <f>'REF-Bittrex'!O9</f>
        <v>btcamp</v>
      </c>
      <c r="B9">
        <f>'REF-Bittrex'!P9</f>
        <v>4.4400000000000002E-5</v>
      </c>
    </row>
    <row r="10" spans="1:2">
      <c r="A10" t="str">
        <f>'REF-Bittrex'!O10</f>
        <v>btcant</v>
      </c>
      <c r="B10">
        <f>'REF-Bittrex'!P10</f>
        <v>4.7408999999999998E-4</v>
      </c>
    </row>
    <row r="11" spans="1:2">
      <c r="A11" t="str">
        <f>'REF-Bittrex'!O11</f>
        <v>btcapx</v>
      </c>
      <c r="B11">
        <f>'REF-Bittrex'!P11</f>
        <v>2.06077E-3</v>
      </c>
    </row>
    <row r="12" spans="1:2">
      <c r="A12" t="str">
        <f>'REF-Bittrex'!O12</f>
        <v>btcardr</v>
      </c>
      <c r="B12">
        <f>'REF-Bittrex'!P12</f>
        <v>3.8699999999999999E-5</v>
      </c>
    </row>
    <row r="13" spans="1:2">
      <c r="A13" t="str">
        <f>'REF-Bittrex'!O13</f>
        <v>btcark</v>
      </c>
      <c r="B13">
        <f>'REF-Bittrex'!P13</f>
        <v>5.8098999999999998E-4</v>
      </c>
    </row>
    <row r="14" spans="1:2">
      <c r="A14" t="str">
        <f>'REF-Bittrex'!O14</f>
        <v>btcaur</v>
      </c>
      <c r="B14">
        <f>'REF-Bittrex'!P14</f>
        <v>1.5801000000000001E-4</v>
      </c>
    </row>
    <row r="15" spans="1:2">
      <c r="A15" t="str">
        <f>'REF-Bittrex'!O15</f>
        <v>btcbat</v>
      </c>
      <c r="B15">
        <f>'REF-Bittrex'!P15</f>
        <v>5.2960000000000001E-5</v>
      </c>
    </row>
    <row r="16" spans="1:2">
      <c r="A16" t="str">
        <f>'REF-Bittrex'!O16</f>
        <v>btcbay</v>
      </c>
      <c r="B16">
        <f>'REF-Bittrex'!P16</f>
        <v>5.5999999999999997E-6</v>
      </c>
    </row>
    <row r="17" spans="1:2">
      <c r="A17" t="str">
        <f>'REF-Bittrex'!O17</f>
        <v>btcbcc</v>
      </c>
      <c r="B17">
        <f>'REF-Bittrex'!P17</f>
        <v>0.14910000000000001</v>
      </c>
    </row>
    <row r="18" spans="1:2">
      <c r="A18" t="str">
        <f>'REF-Bittrex'!O18</f>
        <v>btcbcy</v>
      </c>
      <c r="B18">
        <f>'REF-Bittrex'!P18</f>
        <v>1.0105E-4</v>
      </c>
    </row>
    <row r="19" spans="1:2">
      <c r="A19" t="str">
        <f>'REF-Bittrex'!O19</f>
        <v>btcbitb</v>
      </c>
      <c r="B19">
        <f>'REF-Bittrex'!P19</f>
        <v>6.7999999999999995E-7</v>
      </c>
    </row>
    <row r="20" spans="1:2">
      <c r="A20" t="str">
        <f>'REF-Bittrex'!O20</f>
        <v>btcblitz</v>
      </c>
      <c r="B20">
        <f>'REF-Bittrex'!P20</f>
        <v>3.9065999999999998E-4</v>
      </c>
    </row>
    <row r="21" spans="1:2">
      <c r="A21" t="str">
        <f>'REF-Bittrex'!O21</f>
        <v>btcblk</v>
      </c>
      <c r="B21">
        <f>'REF-Bittrex'!P21</f>
        <v>5.5550000000000002E-5</v>
      </c>
    </row>
    <row r="22" spans="1:2">
      <c r="A22" t="str">
        <f>'REF-Bittrex'!O22</f>
        <v>btcblock</v>
      </c>
      <c r="B22">
        <f>'REF-Bittrex'!P22</f>
        <v>5.3304600000000004E-3</v>
      </c>
    </row>
    <row r="23" spans="1:2">
      <c r="A23" t="str">
        <f>'REF-Bittrex'!O23</f>
        <v>btcbnt</v>
      </c>
      <c r="B23">
        <f>'REF-Bittrex'!P23</f>
        <v>5.8164000000000002E-4</v>
      </c>
    </row>
    <row r="24" spans="1:2">
      <c r="A24" t="str">
        <f>'REF-Bittrex'!O24</f>
        <v>btcbrk</v>
      </c>
      <c r="B24">
        <f>'REF-Bittrex'!P24</f>
        <v>3.5750000000000002E-5</v>
      </c>
    </row>
    <row r="25" spans="1:2">
      <c r="A25" t="str">
        <f>'REF-Bittrex'!O25</f>
        <v>btcbrx</v>
      </c>
      <c r="B25">
        <f>'REF-Bittrex'!P25</f>
        <v>1.3907000000000001E-4</v>
      </c>
    </row>
    <row r="26" spans="1:2">
      <c r="A26" t="str">
        <f>'REF-Bittrex'!O26</f>
        <v>btcbsd</v>
      </c>
      <c r="B26">
        <f>'REF-Bittrex'!P26</f>
        <v>8.5450000000000003E-5</v>
      </c>
    </row>
    <row r="27" spans="1:2">
      <c r="A27" t="str">
        <f>'REF-Bittrex'!O27</f>
        <v>btcbta</v>
      </c>
      <c r="B27">
        <f>'REF-Bittrex'!P27</f>
        <v>1.1803000000000001E-4</v>
      </c>
    </row>
    <row r="28" spans="1:2">
      <c r="A28" t="str">
        <f>'REF-Bittrex'!O28</f>
        <v>btcbtcd</v>
      </c>
      <c r="B28">
        <f>'REF-Bittrex'!P28</f>
        <v>3.3000950000000001E-2</v>
      </c>
    </row>
    <row r="29" spans="1:2">
      <c r="A29" t="str">
        <f>'REF-Bittrex'!O29</f>
        <v>btcbts</v>
      </c>
      <c r="B29">
        <f>'REF-Bittrex'!P29</f>
        <v>3.15E-5</v>
      </c>
    </row>
    <row r="30" spans="1:2">
      <c r="A30" t="str">
        <f>'REF-Bittrex'!O30</f>
        <v>btcburst</v>
      </c>
      <c r="B30">
        <f>'REF-Bittrex'!P30</f>
        <v>2.6000000000000001E-6</v>
      </c>
    </row>
    <row r="31" spans="1:2">
      <c r="A31" t="str">
        <f>'REF-Bittrex'!O31</f>
        <v>btcbyc</v>
      </c>
      <c r="B31">
        <f>'REF-Bittrex'!P31</f>
        <v>1.3307E-4</v>
      </c>
    </row>
    <row r="32" spans="1:2">
      <c r="A32" t="str">
        <f>'REF-Bittrex'!O32</f>
        <v>btccann</v>
      </c>
      <c r="B32">
        <f>'REF-Bittrex'!P32</f>
        <v>6.3199999999999996E-6</v>
      </c>
    </row>
    <row r="33" spans="1:2">
      <c r="A33" t="str">
        <f>'REF-Bittrex'!O33</f>
        <v>btccfi</v>
      </c>
      <c r="B33">
        <f>'REF-Bittrex'!P33</f>
        <v>3.8340000000000002E-5</v>
      </c>
    </row>
    <row r="34" spans="1:2">
      <c r="A34" t="str">
        <f>'REF-Bittrex'!O34</f>
        <v>btcclam</v>
      </c>
      <c r="B34">
        <f>'REF-Bittrex'!P34</f>
        <v>1.64715E-3</v>
      </c>
    </row>
    <row r="35" spans="1:2">
      <c r="A35" t="str">
        <f>'REF-Bittrex'!O35</f>
        <v>btccloak</v>
      </c>
      <c r="B35">
        <f>'REF-Bittrex'!P35</f>
        <v>1.3239899999999999E-3</v>
      </c>
    </row>
    <row r="36" spans="1:2">
      <c r="A36" t="str">
        <f>'REF-Bittrex'!O36</f>
        <v>btcclub</v>
      </c>
      <c r="B36">
        <f>'REF-Bittrex'!P36</f>
        <v>8.9289999999999994E-5</v>
      </c>
    </row>
    <row r="37" spans="1:2">
      <c r="A37" t="str">
        <f>'REF-Bittrex'!O37</f>
        <v>btccoval</v>
      </c>
      <c r="B37">
        <f>'REF-Bittrex'!P37</f>
        <v>1.28E-6</v>
      </c>
    </row>
    <row r="38" spans="1:2">
      <c r="A38" t="str">
        <f>'REF-Bittrex'!O38</f>
        <v>btccpc</v>
      </c>
      <c r="B38">
        <f>'REF-Bittrex'!P38</f>
        <v>1.4677000000000001E-4</v>
      </c>
    </row>
    <row r="39" spans="1:2">
      <c r="A39" t="str">
        <f>'REF-Bittrex'!O39</f>
        <v>btccrb</v>
      </c>
      <c r="B39">
        <f>'REF-Bittrex'!P39</f>
        <v>1.5849000000000001E-4</v>
      </c>
    </row>
    <row r="40" spans="1:2">
      <c r="A40" t="str">
        <f>'REF-Bittrex'!O40</f>
        <v>btccrw</v>
      </c>
      <c r="B40">
        <f>'REF-Bittrex'!P40</f>
        <v>3.2231000000000002E-4</v>
      </c>
    </row>
    <row r="41" spans="1:2">
      <c r="A41" t="str">
        <f>'REF-Bittrex'!O41</f>
        <v>btccure</v>
      </c>
      <c r="B41">
        <f>'REF-Bittrex'!P41</f>
        <v>5.6719999999999999E-5</v>
      </c>
    </row>
    <row r="42" spans="1:2">
      <c r="A42" t="str">
        <f>'REF-Bittrex'!O42</f>
        <v>btccvc</v>
      </c>
      <c r="B42">
        <f>'REF-Bittrex'!P42</f>
        <v>9.1310000000000005E-5</v>
      </c>
    </row>
    <row r="43" spans="1:2">
      <c r="A43" t="str">
        <f>'REF-Bittrex'!O43</f>
        <v>btcdar</v>
      </c>
      <c r="B43">
        <f>'REF-Bittrex'!P43</f>
        <v>7.3650000000000001E-5</v>
      </c>
    </row>
    <row r="44" spans="1:2">
      <c r="A44" t="str">
        <f>'REF-Bittrex'!O44</f>
        <v>btcdash</v>
      </c>
      <c r="B44">
        <f>'REF-Bittrex'!P44</f>
        <v>7.5402960000000005E-2</v>
      </c>
    </row>
    <row r="45" spans="1:2">
      <c r="A45" t="str">
        <f>'REF-Bittrex'!O45</f>
        <v>btcdcr</v>
      </c>
      <c r="B45">
        <f>'REF-Bittrex'!P45</f>
        <v>7.4106299999999996E-3</v>
      </c>
    </row>
    <row r="46" spans="1:2">
      <c r="A46" t="str">
        <f>'REF-Bittrex'!O46</f>
        <v>btcdct</v>
      </c>
      <c r="B46">
        <f>'REF-Bittrex'!P46</f>
        <v>2.0007E-4</v>
      </c>
    </row>
    <row r="47" spans="1:2">
      <c r="A47" t="str">
        <f>'REF-Bittrex'!O47</f>
        <v>btcdgb</v>
      </c>
      <c r="B47">
        <f>'REF-Bittrex'!P47</f>
        <v>3.9199999999999997E-6</v>
      </c>
    </row>
    <row r="48" spans="1:2">
      <c r="A48" t="str">
        <f>'REF-Bittrex'!O48</f>
        <v>btcdgd</v>
      </c>
      <c r="B48">
        <f>'REF-Bittrex'!P48</f>
        <v>1.91348E-2</v>
      </c>
    </row>
    <row r="49" spans="1:2">
      <c r="A49" t="str">
        <f>'REF-Bittrex'!O49</f>
        <v>btcdmd</v>
      </c>
      <c r="B49">
        <f>'REF-Bittrex'!P49</f>
        <v>1.3402500000000001E-3</v>
      </c>
    </row>
    <row r="50" spans="1:2">
      <c r="A50" t="str">
        <f>'REF-Bittrex'!O50</f>
        <v>btcdoge</v>
      </c>
      <c r="B50">
        <f>'REF-Bittrex'!P50</f>
        <v>4.3000000000000001E-7</v>
      </c>
    </row>
    <row r="51" spans="1:2">
      <c r="A51" t="str">
        <f>'REF-Bittrex'!O51</f>
        <v>btcdope</v>
      </c>
      <c r="B51">
        <f>'REF-Bittrex'!P51</f>
        <v>5.8900000000000004E-6</v>
      </c>
    </row>
    <row r="52" spans="1:2">
      <c r="A52" t="str">
        <f>'REF-Bittrex'!O52</f>
        <v>btcdraco</v>
      </c>
      <c r="B52">
        <f>'REF-Bittrex'!P52</f>
        <v>3.0000000000000001E-6</v>
      </c>
    </row>
    <row r="53" spans="1:2">
      <c r="A53" t="str">
        <f>'REF-Bittrex'!O53</f>
        <v>btcdtb</v>
      </c>
      <c r="B53">
        <f>'REF-Bittrex'!P53</f>
        <v>1.4301E-4</v>
      </c>
    </row>
    <row r="54" spans="1:2">
      <c r="A54" t="str">
        <f>'REF-Bittrex'!O54</f>
        <v>btcdyn</v>
      </c>
      <c r="B54">
        <f>'REF-Bittrex'!P54</f>
        <v>5.2934E-4</v>
      </c>
    </row>
    <row r="55" spans="1:2">
      <c r="A55" t="str">
        <f>'REF-Bittrex'!O55</f>
        <v>btcebst</v>
      </c>
      <c r="B55">
        <f>'REF-Bittrex'!P55</f>
        <v>3.349E-5</v>
      </c>
    </row>
    <row r="56" spans="1:2">
      <c r="A56" t="str">
        <f>'REF-Bittrex'!O56</f>
        <v>btcedg</v>
      </c>
      <c r="B56">
        <f>'REF-Bittrex'!P56</f>
        <v>1.5161999999999999E-4</v>
      </c>
    </row>
    <row r="57" spans="1:2">
      <c r="A57" t="str">
        <f>'REF-Bittrex'!O57</f>
        <v>btcefl</v>
      </c>
      <c r="B57">
        <f>'REF-Bittrex'!P57</f>
        <v>2.5170000000000001E-5</v>
      </c>
    </row>
    <row r="58" spans="1:2">
      <c r="A58" t="str">
        <f>'REF-Bittrex'!O58</f>
        <v>btcegc</v>
      </c>
      <c r="B58">
        <f>'REF-Bittrex'!P58</f>
        <v>4.0840000000000002E-5</v>
      </c>
    </row>
    <row r="59" spans="1:2">
      <c r="A59" t="str">
        <f>'REF-Bittrex'!O59</f>
        <v>btcemc</v>
      </c>
      <c r="B59">
        <f>'REF-Bittrex'!P59</f>
        <v>2.3772999999999999E-4</v>
      </c>
    </row>
    <row r="60" spans="1:2">
      <c r="A60" t="str">
        <f>'REF-Bittrex'!O60</f>
        <v>btcemc2</v>
      </c>
      <c r="B60">
        <f>'REF-Bittrex'!P60</f>
        <v>8.5199999999999997E-6</v>
      </c>
    </row>
    <row r="61" spans="1:2">
      <c r="A61" t="str">
        <f>'REF-Bittrex'!O61</f>
        <v>btcenrg</v>
      </c>
      <c r="B61">
        <f>'REF-Bittrex'!P61</f>
        <v>2.8330000000000002E-5</v>
      </c>
    </row>
    <row r="62" spans="1:2">
      <c r="A62" t="str">
        <f>'REF-Bittrex'!O62</f>
        <v>btcerc</v>
      </c>
      <c r="B62">
        <f>'REF-Bittrex'!P62</f>
        <v>1.0537E-4</v>
      </c>
    </row>
    <row r="63" spans="1:2">
      <c r="A63" t="str">
        <f>'REF-Bittrex'!O63</f>
        <v>btcetc</v>
      </c>
      <c r="B63">
        <f>'REF-Bittrex'!P63</f>
        <v>3.9932600000000002E-3</v>
      </c>
    </row>
    <row r="64" spans="1:2">
      <c r="A64" t="str">
        <f>'REF-Bittrex'!O64</f>
        <v>btceth</v>
      </c>
      <c r="B64">
        <f>'REF-Bittrex'!P64</f>
        <v>7.1800069999999994E-2</v>
      </c>
    </row>
    <row r="65" spans="1:2">
      <c r="A65" t="str">
        <f>'REF-Bittrex'!O65</f>
        <v>btcexcl</v>
      </c>
      <c r="B65">
        <f>'REF-Bittrex'!P65</f>
        <v>2.7530000000000002E-4</v>
      </c>
    </row>
    <row r="66" spans="1:2">
      <c r="A66" t="str">
        <f>'REF-Bittrex'!O66</f>
        <v>btcexp</v>
      </c>
      <c r="B66">
        <f>'REF-Bittrex'!P66</f>
        <v>7.1005000000000005E-4</v>
      </c>
    </row>
    <row r="67" spans="1:2">
      <c r="A67" t="str">
        <f>'REF-Bittrex'!O67</f>
        <v>btcfair</v>
      </c>
      <c r="B67">
        <f>'REF-Bittrex'!P67</f>
        <v>1.2790999999999999E-4</v>
      </c>
    </row>
    <row r="68" spans="1:2">
      <c r="A68" t="str">
        <f>'REF-Bittrex'!O68</f>
        <v>btcfct</v>
      </c>
      <c r="B68">
        <f>'REF-Bittrex'!P68</f>
        <v>6.2810100000000001E-3</v>
      </c>
    </row>
    <row r="69" spans="1:2">
      <c r="A69" t="str">
        <f>'REF-Bittrex'!O69</f>
        <v>btcfldc</v>
      </c>
      <c r="B69">
        <f>'REF-Bittrex'!P69</f>
        <v>3.2100000000000002E-6</v>
      </c>
    </row>
    <row r="70" spans="1:2">
      <c r="A70" t="str">
        <f>'REF-Bittrex'!O70</f>
        <v>btcflo</v>
      </c>
      <c r="B70">
        <f>'REF-Bittrex'!P70</f>
        <v>1.8499999999999999E-5</v>
      </c>
    </row>
    <row r="71" spans="1:2">
      <c r="A71" t="str">
        <f>'REF-Bittrex'!O71</f>
        <v>btcftc</v>
      </c>
      <c r="B71">
        <f>'REF-Bittrex'!P71</f>
        <v>1.327E-5</v>
      </c>
    </row>
    <row r="72" spans="1:2">
      <c r="A72" t="str">
        <f>'REF-Bittrex'!O72</f>
        <v>btcfun</v>
      </c>
      <c r="B72">
        <f>'REF-Bittrex'!P72</f>
        <v>6.1299999999999998E-6</v>
      </c>
    </row>
    <row r="73" spans="1:2">
      <c r="A73" t="str">
        <f>'REF-Bittrex'!O73</f>
        <v>btcgam</v>
      </c>
      <c r="B73">
        <f>'REF-Bittrex'!P73</f>
        <v>2.2024900000000001E-3</v>
      </c>
    </row>
    <row r="74" spans="1:2">
      <c r="A74" t="str">
        <f>'REF-Bittrex'!O74</f>
        <v>btcgame</v>
      </c>
      <c r="B74">
        <f>'REF-Bittrex'!P74</f>
        <v>5.0401999999999999E-4</v>
      </c>
    </row>
    <row r="75" spans="1:2">
      <c r="A75" t="str">
        <f>'REF-Bittrex'!O75</f>
        <v>btcgbg</v>
      </c>
      <c r="B75">
        <f>'REF-Bittrex'!P75</f>
        <v>2.0849999999999999E-5</v>
      </c>
    </row>
    <row r="76" spans="1:2">
      <c r="A76" t="str">
        <f>'REF-Bittrex'!O76</f>
        <v>btcgbyte</v>
      </c>
      <c r="B76">
        <f>'REF-Bittrex'!P76</f>
        <v>7.3999990000000002E-2</v>
      </c>
    </row>
    <row r="77" spans="1:2">
      <c r="A77" t="str">
        <f>'REF-Bittrex'!O77</f>
        <v>btcgcr</v>
      </c>
      <c r="B77">
        <f>'REF-Bittrex'!P77</f>
        <v>1.0550000000000001E-5</v>
      </c>
    </row>
    <row r="78" spans="1:2">
      <c r="A78" t="str">
        <f>'REF-Bittrex'!O78</f>
        <v>btcgeo</v>
      </c>
      <c r="B78">
        <f>'REF-Bittrex'!P78</f>
        <v>2.9001999999999999E-4</v>
      </c>
    </row>
    <row r="79" spans="1:2">
      <c r="A79" t="str">
        <f>'REF-Bittrex'!O79</f>
        <v>btcgld</v>
      </c>
      <c r="B79">
        <f>'REF-Bittrex'!P79</f>
        <v>2.3920000000000001E-5</v>
      </c>
    </row>
    <row r="80" spans="1:2">
      <c r="A80" t="str">
        <f>'REF-Bittrex'!O80</f>
        <v>btcgno</v>
      </c>
      <c r="B80">
        <f>'REF-Bittrex'!P80</f>
        <v>3.5099999999999999E-2</v>
      </c>
    </row>
    <row r="81" spans="1:2">
      <c r="A81" t="str">
        <f>'REF-Bittrex'!O81</f>
        <v>btcgnt</v>
      </c>
      <c r="B81">
        <f>'REF-Bittrex'!P81</f>
        <v>8.9499999999999994E-5</v>
      </c>
    </row>
    <row r="82" spans="1:2">
      <c r="A82" t="str">
        <f>'REF-Bittrex'!O82</f>
        <v>btcgolos</v>
      </c>
      <c r="B82">
        <f>'REF-Bittrex'!P82</f>
        <v>2.9220000000000001E-5</v>
      </c>
    </row>
    <row r="83" spans="1:2">
      <c r="A83" t="str">
        <f>'REF-Bittrex'!O83</f>
        <v>btcgrc</v>
      </c>
      <c r="B83">
        <f>'REF-Bittrex'!P83</f>
        <v>8.0099999999999995E-6</v>
      </c>
    </row>
    <row r="84" spans="1:2">
      <c r="A84" t="str">
        <f>'REF-Bittrex'!O84</f>
        <v>btcgrs</v>
      </c>
      <c r="B84">
        <f>'REF-Bittrex'!P84</f>
        <v>3.3970000000000002E-5</v>
      </c>
    </row>
    <row r="85" spans="1:2">
      <c r="A85" t="str">
        <f>'REF-Bittrex'!O85</f>
        <v>btcgup</v>
      </c>
      <c r="B85">
        <f>'REF-Bittrex'!P85</f>
        <v>4.6820000000000002E-5</v>
      </c>
    </row>
    <row r="86" spans="1:2">
      <c r="A86" t="str">
        <f>'REF-Bittrex'!O86</f>
        <v>btchkg</v>
      </c>
      <c r="B86">
        <f>'REF-Bittrex'!P86</f>
        <v>8.7499999999999992E-6</v>
      </c>
    </row>
    <row r="87" spans="1:2">
      <c r="A87" t="str">
        <f>'REF-Bittrex'!O87</f>
        <v>btchmq</v>
      </c>
      <c r="B87">
        <f>'REF-Bittrex'!P87</f>
        <v>2.9009999999999998E-5</v>
      </c>
    </row>
    <row r="88" spans="1:2">
      <c r="A88" t="str">
        <f>'REF-Bittrex'!O88</f>
        <v>btcincnt</v>
      </c>
      <c r="B88">
        <f>'REF-Bittrex'!P88</f>
        <v>4.1239999999999998E-5</v>
      </c>
    </row>
    <row r="89" spans="1:2">
      <c r="A89" t="str">
        <f>'REF-Bittrex'!O89</f>
        <v>btcinfx</v>
      </c>
      <c r="B89">
        <f>'REF-Bittrex'!P89</f>
        <v>1.1697E-4</v>
      </c>
    </row>
    <row r="90" spans="1:2">
      <c r="A90" t="str">
        <f>'REF-Bittrex'!O90</f>
        <v>btcioc</v>
      </c>
      <c r="B90">
        <f>'REF-Bittrex'!P90</f>
        <v>5.4299999999999997E-4</v>
      </c>
    </row>
    <row r="91" spans="1:2">
      <c r="A91" t="str">
        <f>'REF-Bittrex'!O91</f>
        <v>btcion</v>
      </c>
      <c r="B91">
        <f>'REF-Bittrex'!P91</f>
        <v>2.9860999999999999E-4</v>
      </c>
    </row>
    <row r="92" spans="1:2">
      <c r="A92" t="str">
        <f>'REF-Bittrex'!O92</f>
        <v>btciop</v>
      </c>
      <c r="B92">
        <f>'REF-Bittrex'!P92</f>
        <v>1.7749000000000001E-4</v>
      </c>
    </row>
    <row r="93" spans="1:2">
      <c r="A93" t="str">
        <f>'REF-Bittrex'!O93</f>
        <v>btckmd</v>
      </c>
      <c r="B93">
        <f>'REF-Bittrex'!P93</f>
        <v>7.9679000000000002E-4</v>
      </c>
    </row>
    <row r="94" spans="1:2">
      <c r="A94" t="str">
        <f>'REF-Bittrex'!O94</f>
        <v>btckore</v>
      </c>
      <c r="B94">
        <f>'REF-Bittrex'!P94</f>
        <v>6.7000000000000002E-4</v>
      </c>
    </row>
    <row r="95" spans="1:2">
      <c r="A95" t="str">
        <f>'REF-Bittrex'!O95</f>
        <v>btclbc</v>
      </c>
      <c r="B95">
        <f>'REF-Bittrex'!P95</f>
        <v>7.5549999999999993E-5</v>
      </c>
    </row>
    <row r="96" spans="1:2">
      <c r="A96" t="str">
        <f>'REF-Bittrex'!O96</f>
        <v>btclgd</v>
      </c>
      <c r="B96">
        <f>'REF-Bittrex'!P96</f>
        <v>3.2535000000000002E-4</v>
      </c>
    </row>
    <row r="97" spans="1:2">
      <c r="A97" t="str">
        <f>'REF-Bittrex'!O97</f>
        <v>btclmc</v>
      </c>
      <c r="B97">
        <f>'REF-Bittrex'!P97</f>
        <v>7.4800000000000004E-6</v>
      </c>
    </row>
    <row r="98" spans="1:2">
      <c r="A98" t="str">
        <f>'REF-Bittrex'!O98</f>
        <v>btclsk</v>
      </c>
      <c r="B98">
        <f>'REF-Bittrex'!P98</f>
        <v>1.60509E-3</v>
      </c>
    </row>
    <row r="99" spans="1:2">
      <c r="A99" t="str">
        <f>'REF-Bittrex'!O99</f>
        <v>btcltc</v>
      </c>
      <c r="B99">
        <f>'REF-Bittrex'!P99</f>
        <v>1.7405400000000001E-2</v>
      </c>
    </row>
    <row r="100" spans="1:2">
      <c r="A100" t="str">
        <f>'REF-Bittrex'!O100</f>
        <v>btclun</v>
      </c>
      <c r="B100">
        <f>'REF-Bittrex'!P100</f>
        <v>1.8799999999999999E-3</v>
      </c>
    </row>
    <row r="101" spans="1:2">
      <c r="A101" t="str">
        <f>'REF-Bittrex'!O101</f>
        <v>btcmaid</v>
      </c>
      <c r="B101">
        <f>'REF-Bittrex'!P101</f>
        <v>1.5097E-4</v>
      </c>
    </row>
    <row r="102" spans="1:2">
      <c r="A102" t="str">
        <f>'REF-Bittrex'!O102</f>
        <v>btcmco</v>
      </c>
      <c r="B102">
        <f>'REF-Bittrex'!P102</f>
        <v>2.3555999999999998E-3</v>
      </c>
    </row>
    <row r="103" spans="1:2">
      <c r="A103" t="str">
        <f>'REF-Bittrex'!O103</f>
        <v>btcmeme</v>
      </c>
      <c r="B103">
        <f>'REF-Bittrex'!P103</f>
        <v>3.3059999999999999E-5</v>
      </c>
    </row>
    <row r="104" spans="1:2">
      <c r="A104" t="str">
        <f>'REF-Bittrex'!O104</f>
        <v>btcmln</v>
      </c>
      <c r="B104">
        <f>'REF-Bittrex'!P104</f>
        <v>1.637139E-2</v>
      </c>
    </row>
    <row r="105" spans="1:2">
      <c r="A105" t="str">
        <f>'REF-Bittrex'!O105</f>
        <v>btcmona</v>
      </c>
      <c r="B105">
        <f>'REF-Bittrex'!P105</f>
        <v>1.1926000000000001E-4</v>
      </c>
    </row>
    <row r="106" spans="1:2">
      <c r="A106" t="str">
        <f>'REF-Bittrex'!O106</f>
        <v>btcmtl</v>
      </c>
      <c r="B106">
        <f>'REF-Bittrex'!P106</f>
        <v>2.9601900000000001E-3</v>
      </c>
    </row>
    <row r="107" spans="1:2">
      <c r="A107" t="str">
        <f>'REF-Bittrex'!O107</f>
        <v>btcmue</v>
      </c>
      <c r="B107">
        <f>'REF-Bittrex'!P107</f>
        <v>3.2159999999999997E-5</v>
      </c>
    </row>
    <row r="108" spans="1:2">
      <c r="A108" t="str">
        <f>'REF-Bittrex'!O108</f>
        <v>btcmusic</v>
      </c>
      <c r="B108">
        <f>'REF-Bittrex'!P108</f>
        <v>6.0700000000000003E-6</v>
      </c>
    </row>
    <row r="109" spans="1:2">
      <c r="A109" t="str">
        <f>'REF-Bittrex'!O109</f>
        <v>btcmyst</v>
      </c>
      <c r="B109">
        <f>'REF-Bittrex'!P109</f>
        <v>2.6676E-4</v>
      </c>
    </row>
    <row r="110" spans="1:2">
      <c r="A110" t="str">
        <f>'REF-Bittrex'!O110</f>
        <v>btcnav</v>
      </c>
      <c r="B110">
        <f>'REF-Bittrex'!P110</f>
        <v>3.1655000000000002E-4</v>
      </c>
    </row>
    <row r="111" spans="1:2">
      <c r="A111" t="str">
        <f>'REF-Bittrex'!O111</f>
        <v>btcnbt</v>
      </c>
      <c r="B111">
        <f>'REF-Bittrex'!P111</f>
        <v>2.1854E-4</v>
      </c>
    </row>
    <row r="112" spans="1:2">
      <c r="A112" t="str">
        <f>'REF-Bittrex'!O112</f>
        <v>btcneo</v>
      </c>
      <c r="B112">
        <f>'REF-Bittrex'!P112</f>
        <v>6.5799999999999999E-3</v>
      </c>
    </row>
    <row r="113" spans="1:2">
      <c r="A113" t="str">
        <f>'REF-Bittrex'!O113</f>
        <v>btcneos</v>
      </c>
      <c r="B113">
        <f>'REF-Bittrex'!P113</f>
        <v>9.1363000000000002E-4</v>
      </c>
    </row>
    <row r="114" spans="1:2">
      <c r="A114" t="str">
        <f>'REF-Bittrex'!O114</f>
        <v>btcnlg</v>
      </c>
      <c r="B114">
        <f>'REF-Bittrex'!P114</f>
        <v>2.8099999999999999E-5</v>
      </c>
    </row>
    <row r="115" spans="1:2">
      <c r="A115" t="str">
        <f>'REF-Bittrex'!O115</f>
        <v>btcnmr</v>
      </c>
      <c r="B115">
        <f>'REF-Bittrex'!P115</f>
        <v>4.6932700000000003E-3</v>
      </c>
    </row>
    <row r="116" spans="1:2">
      <c r="A116" t="str">
        <f>'REF-Bittrex'!O116</f>
        <v>btcnxc</v>
      </c>
      <c r="B116">
        <f>'REF-Bittrex'!P116</f>
        <v>5.6990000000000002E-5</v>
      </c>
    </row>
    <row r="117" spans="1:2">
      <c r="A117" t="str">
        <f>'REF-Bittrex'!O117</f>
        <v>btcnxs</v>
      </c>
      <c r="B117">
        <f>'REF-Bittrex'!P117</f>
        <v>7.1535999999999995E-4</v>
      </c>
    </row>
    <row r="118" spans="1:2">
      <c r="A118" t="str">
        <f>'REF-Bittrex'!O118</f>
        <v>btcnxt</v>
      </c>
      <c r="B118">
        <f>'REF-Bittrex'!P118</f>
        <v>2.4939999999999998E-5</v>
      </c>
    </row>
    <row r="119" spans="1:2">
      <c r="A119" t="str">
        <f>'REF-Bittrex'!O119</f>
        <v>btcok</v>
      </c>
      <c r="B119">
        <f>'REF-Bittrex'!P119</f>
        <v>6.2550000000000003E-5</v>
      </c>
    </row>
    <row r="120" spans="1:2">
      <c r="A120" t="str">
        <f>'REF-Bittrex'!O120</f>
        <v>btcomg</v>
      </c>
      <c r="B120">
        <f>'REF-Bittrex'!P120</f>
        <v>2.7922200000000002E-3</v>
      </c>
    </row>
    <row r="121" spans="1:2">
      <c r="A121" t="str">
        <f>'REF-Bittrex'!O121</f>
        <v>btcomni</v>
      </c>
      <c r="B121">
        <f>'REF-Bittrex'!P121</f>
        <v>8.26E-3</v>
      </c>
    </row>
    <row r="122" spans="1:2">
      <c r="A122" t="str">
        <f>'REF-Bittrex'!O122</f>
        <v>btcpart</v>
      </c>
      <c r="B122">
        <f>'REF-Bittrex'!P122</f>
        <v>2.3653799999999998E-3</v>
      </c>
    </row>
    <row r="123" spans="1:2">
      <c r="A123" t="str">
        <f>'REF-Bittrex'!O123</f>
        <v>btcpay</v>
      </c>
      <c r="B123">
        <f>'REF-Bittrex'!P123</f>
        <v>7.1000000000000002E-4</v>
      </c>
    </row>
    <row r="124" spans="1:2">
      <c r="A124" t="str">
        <f>'REF-Bittrex'!O124</f>
        <v>btcpdc</v>
      </c>
      <c r="B124">
        <f>'REF-Bittrex'!P124</f>
        <v>4.4369999999999997E-5</v>
      </c>
    </row>
    <row r="125" spans="1:2">
      <c r="A125" t="str">
        <f>'REF-Bittrex'!O125</f>
        <v>btcpink</v>
      </c>
      <c r="B125">
        <f>'REF-Bittrex'!P125</f>
        <v>7.1500000000000002E-6</v>
      </c>
    </row>
    <row r="126" spans="1:2">
      <c r="A126" t="str">
        <f>'REF-Bittrex'!O126</f>
        <v>btcpivx</v>
      </c>
      <c r="B126">
        <f>'REF-Bittrex'!P126</f>
        <v>8.7522000000000001E-4</v>
      </c>
    </row>
    <row r="127" spans="1:2">
      <c r="A127" t="str">
        <f>'REF-Bittrex'!O127</f>
        <v>btcpkb</v>
      </c>
      <c r="B127">
        <f>'REF-Bittrex'!P127</f>
        <v>8.8269999999999993E-5</v>
      </c>
    </row>
    <row r="128" spans="1:2">
      <c r="A128" t="str">
        <f>'REF-Bittrex'!O128</f>
        <v>btcpot</v>
      </c>
      <c r="B128">
        <f>'REF-Bittrex'!P128</f>
        <v>2.181E-5</v>
      </c>
    </row>
    <row r="129" spans="1:2">
      <c r="A129" t="str">
        <f>'REF-Bittrex'!O129</f>
        <v>btcppc</v>
      </c>
      <c r="B129">
        <f>'REF-Bittrex'!P129</f>
        <v>4.0233000000000001E-4</v>
      </c>
    </row>
    <row r="130" spans="1:2">
      <c r="A130" t="str">
        <f>'REF-Bittrex'!O130</f>
        <v>btcptc</v>
      </c>
      <c r="B130">
        <f>'REF-Bittrex'!P130</f>
        <v>9.5300000000000002E-6</v>
      </c>
    </row>
    <row r="131" spans="1:2">
      <c r="A131" t="str">
        <f>'REF-Bittrex'!O131</f>
        <v>btcptoy</v>
      </c>
      <c r="B131">
        <f>'REF-Bittrex'!P131</f>
        <v>8.03E-5</v>
      </c>
    </row>
    <row r="132" spans="1:2">
      <c r="A132" t="str">
        <f>'REF-Bittrex'!O132</f>
        <v>btcqrl</v>
      </c>
      <c r="B132">
        <f>'REF-Bittrex'!P132</f>
        <v>1.3904999999999999E-4</v>
      </c>
    </row>
    <row r="133" spans="1:2">
      <c r="A133" t="str">
        <f>'REF-Bittrex'!O133</f>
        <v>btcqtum</v>
      </c>
      <c r="B133">
        <f>'REF-Bittrex'!P133</f>
        <v>3.0527100000000001E-3</v>
      </c>
    </row>
    <row r="134" spans="1:2">
      <c r="A134" t="str">
        <f>'REF-Bittrex'!O134</f>
        <v>btcqwark</v>
      </c>
      <c r="B134">
        <f>'REF-Bittrex'!P134</f>
        <v>5.0000000000000002E-5</v>
      </c>
    </row>
    <row r="135" spans="1:2">
      <c r="A135" t="str">
        <f>'REF-Bittrex'!O135</f>
        <v>btcrads</v>
      </c>
      <c r="B135">
        <f>'REF-Bittrex'!P135</f>
        <v>1.4699299999999999E-3</v>
      </c>
    </row>
    <row r="136" spans="1:2">
      <c r="A136" t="str">
        <f>'REF-Bittrex'!O136</f>
        <v>btcrby</v>
      </c>
      <c r="B136">
        <f>'REF-Bittrex'!P136</f>
        <v>1.3512999999999999E-4</v>
      </c>
    </row>
    <row r="137" spans="1:2">
      <c r="A137" t="str">
        <f>'REF-Bittrex'!O137</f>
        <v>btcrdd</v>
      </c>
      <c r="B137">
        <f>'REF-Bittrex'!P137</f>
        <v>2.8999999999999998E-7</v>
      </c>
    </row>
    <row r="138" spans="1:2">
      <c r="A138" t="str">
        <f>'REF-Bittrex'!O138</f>
        <v>btcrep</v>
      </c>
      <c r="B138">
        <f>'REF-Bittrex'!P138</f>
        <v>5.2224000000000003E-3</v>
      </c>
    </row>
    <row r="139" spans="1:2">
      <c r="A139" t="str">
        <f>'REF-Bittrex'!O139</f>
        <v>btcrise</v>
      </c>
      <c r="B139">
        <f>'REF-Bittrex'!P139</f>
        <v>7.8170000000000005E-5</v>
      </c>
    </row>
    <row r="140" spans="1:2">
      <c r="A140" t="str">
        <f>'REF-Bittrex'!O140</f>
        <v>btcrlc</v>
      </c>
      <c r="B140">
        <f>'REF-Bittrex'!P140</f>
        <v>1.2662E-4</v>
      </c>
    </row>
    <row r="141" spans="1:2">
      <c r="A141" t="str">
        <f>'REF-Bittrex'!O141</f>
        <v>btcsafex</v>
      </c>
      <c r="B141">
        <f>'REF-Bittrex'!P141</f>
        <v>2.3599999999999999E-6</v>
      </c>
    </row>
    <row r="142" spans="1:2">
      <c r="A142" t="str">
        <f>'REF-Bittrex'!O142</f>
        <v>btcsbd</v>
      </c>
      <c r="B142">
        <f>'REF-Bittrex'!P142</f>
        <v>2.2111E-4</v>
      </c>
    </row>
    <row r="143" spans="1:2">
      <c r="A143" t="str">
        <f>'REF-Bittrex'!O143</f>
        <v>btcsc</v>
      </c>
      <c r="B143">
        <f>'REF-Bittrex'!P143</f>
        <v>1.68E-6</v>
      </c>
    </row>
    <row r="144" spans="1:2">
      <c r="A144" t="str">
        <f>'REF-Bittrex'!O144</f>
        <v>btcseq</v>
      </c>
      <c r="B144">
        <f>'REF-Bittrex'!P144</f>
        <v>3.4020000000000003E-5</v>
      </c>
    </row>
    <row r="145" spans="1:2">
      <c r="A145" t="str">
        <f>'REF-Bittrex'!O145</f>
        <v>btcshift</v>
      </c>
      <c r="B145">
        <f>'REF-Bittrex'!P145</f>
        <v>3.2620000000000001E-4</v>
      </c>
    </row>
    <row r="146" spans="1:2">
      <c r="A146" t="str">
        <f>'REF-Bittrex'!O146</f>
        <v>btcsib</v>
      </c>
      <c r="B146">
        <f>'REF-Bittrex'!P146</f>
        <v>2.6342999999999999E-4</v>
      </c>
    </row>
    <row r="147" spans="1:2">
      <c r="A147" t="str">
        <f>'REF-Bittrex'!O147</f>
        <v>btcslr</v>
      </c>
      <c r="B147">
        <f>'REF-Bittrex'!P147</f>
        <v>4.1879999999999999E-5</v>
      </c>
    </row>
    <row r="148" spans="1:2">
      <c r="A148" t="str">
        <f>'REF-Bittrex'!O148</f>
        <v>btcsls</v>
      </c>
      <c r="B148">
        <f>'REF-Bittrex'!P148</f>
        <v>3.45014E-3</v>
      </c>
    </row>
    <row r="149" spans="1:2">
      <c r="A149" t="str">
        <f>'REF-Bittrex'!O149</f>
        <v>btcsngls</v>
      </c>
      <c r="B149">
        <f>'REF-Bittrex'!P149</f>
        <v>3.0929999999999997E-5</v>
      </c>
    </row>
    <row r="150" spans="1:2">
      <c r="A150" t="str">
        <f>'REF-Bittrex'!O150</f>
        <v>btcsnrg</v>
      </c>
      <c r="B150">
        <f>'REF-Bittrex'!P150</f>
        <v>3.2578000000000001E-4</v>
      </c>
    </row>
    <row r="151" spans="1:2">
      <c r="A151" t="str">
        <f>'REF-Bittrex'!O151</f>
        <v>btcsnt</v>
      </c>
      <c r="B151">
        <f>'REF-Bittrex'!P151</f>
        <v>7.9100000000000005E-6</v>
      </c>
    </row>
    <row r="152" spans="1:2">
      <c r="A152" t="str">
        <f>'REF-Bittrex'!O152</f>
        <v>btcsphr</v>
      </c>
      <c r="B152">
        <f>'REF-Bittrex'!P152</f>
        <v>6.4999999999999997E-4</v>
      </c>
    </row>
    <row r="153" spans="1:2">
      <c r="A153" t="str">
        <f>'REF-Bittrex'!O153</f>
        <v>btcspr</v>
      </c>
      <c r="B153">
        <f>'REF-Bittrex'!P153</f>
        <v>4.2499999999999998E-4</v>
      </c>
    </row>
    <row r="154" spans="1:2">
      <c r="A154" t="str">
        <f>'REF-Bittrex'!O154</f>
        <v>btcstart</v>
      </c>
      <c r="B154">
        <f>'REF-Bittrex'!P154</f>
        <v>9.3000000000000007E-6</v>
      </c>
    </row>
    <row r="155" spans="1:2">
      <c r="A155" t="str">
        <f>'REF-Bittrex'!O155</f>
        <v>btcsteem</v>
      </c>
      <c r="B155">
        <f>'REF-Bittrex'!P155</f>
        <v>3.3958000000000003E-4</v>
      </c>
    </row>
    <row r="156" spans="1:2">
      <c r="A156" t="str">
        <f>'REF-Bittrex'!O156</f>
        <v>btcstorj</v>
      </c>
      <c r="B156">
        <f>'REF-Bittrex'!P156</f>
        <v>1.4771000000000001E-4</v>
      </c>
    </row>
    <row r="157" spans="1:2">
      <c r="A157" t="str">
        <f>'REF-Bittrex'!O157</f>
        <v>btcstrat</v>
      </c>
      <c r="B157">
        <f>'REF-Bittrex'!P157</f>
        <v>1.364E-3</v>
      </c>
    </row>
    <row r="158" spans="1:2">
      <c r="A158" t="str">
        <f>'REF-Bittrex'!O158</f>
        <v>btcswift</v>
      </c>
      <c r="B158">
        <f>'REF-Bittrex'!P158</f>
        <v>2.9629999999999999E-4</v>
      </c>
    </row>
    <row r="159" spans="1:2">
      <c r="A159" t="str">
        <f>'REF-Bittrex'!O159</f>
        <v>btcswt</v>
      </c>
      <c r="B159">
        <f>'REF-Bittrex'!P159</f>
        <v>4.0162999999999999E-4</v>
      </c>
    </row>
    <row r="160" spans="1:2">
      <c r="A160" t="str">
        <f>'REF-Bittrex'!O160</f>
        <v>btcsynx</v>
      </c>
      <c r="B160">
        <f>'REF-Bittrex'!P160</f>
        <v>3.7880000000000003E-5</v>
      </c>
    </row>
    <row r="161" spans="1:2">
      <c r="A161" t="str">
        <f>'REF-Bittrex'!O161</f>
        <v>btcsys</v>
      </c>
      <c r="B161">
        <f>'REF-Bittrex'!P161</f>
        <v>6.9090000000000004E-5</v>
      </c>
    </row>
    <row r="162" spans="1:2">
      <c r="A162" t="str">
        <f>'REF-Bittrex'!O162</f>
        <v>btcthc</v>
      </c>
      <c r="B162">
        <f>'REF-Bittrex'!P162</f>
        <v>2.3700000000000002E-6</v>
      </c>
    </row>
    <row r="163" spans="1:2">
      <c r="A163" t="str">
        <f>'REF-Bittrex'!O163</f>
        <v>btctime</v>
      </c>
      <c r="B163">
        <f>'REF-Bittrex'!P163</f>
        <v>4.7606699999999998E-3</v>
      </c>
    </row>
    <row r="164" spans="1:2">
      <c r="A164" t="str">
        <f>'REF-Bittrex'!O164</f>
        <v>btctkn</v>
      </c>
      <c r="B164">
        <f>'REF-Bittrex'!P164</f>
        <v>3.6502000000000003E-4</v>
      </c>
    </row>
    <row r="165" spans="1:2">
      <c r="A165" t="str">
        <f>'REF-Bittrex'!O165</f>
        <v>btctks</v>
      </c>
      <c r="B165">
        <f>'REF-Bittrex'!P165</f>
        <v>4.6001000000000001E-4</v>
      </c>
    </row>
    <row r="166" spans="1:2">
      <c r="A166" t="str">
        <f>'REF-Bittrex'!O166</f>
        <v>btctrig</v>
      </c>
      <c r="B166">
        <f>'REF-Bittrex'!P166</f>
        <v>2.7179999999999999E-4</v>
      </c>
    </row>
    <row r="167" spans="1:2">
      <c r="A167" t="str">
        <f>'REF-Bittrex'!O167</f>
        <v>btctrst</v>
      </c>
      <c r="B167">
        <f>'REF-Bittrex'!P167</f>
        <v>6.2990000000000005E-5</v>
      </c>
    </row>
    <row r="168" spans="1:2">
      <c r="A168" t="str">
        <f>'REF-Bittrex'!O168</f>
        <v>btctrust</v>
      </c>
      <c r="B168">
        <f>'REF-Bittrex'!P168</f>
        <v>1.2670000000000001E-5</v>
      </c>
    </row>
    <row r="169" spans="1:2">
      <c r="A169" t="str">
        <f>'REF-Bittrex'!O169</f>
        <v>btctx</v>
      </c>
      <c r="B169">
        <f>'REF-Bittrex'!P169</f>
        <v>8.7319999999999997E-5</v>
      </c>
    </row>
    <row r="170" spans="1:2">
      <c r="A170" t="str">
        <f>'REF-Bittrex'!O170</f>
        <v>btcubq</v>
      </c>
      <c r="B170">
        <f>'REF-Bittrex'!P170</f>
        <v>5.3706999999999995E-4</v>
      </c>
    </row>
    <row r="171" spans="1:2">
      <c r="A171" t="str">
        <f>'REF-Bittrex'!O171</f>
        <v>btcunb</v>
      </c>
      <c r="B171">
        <f>'REF-Bittrex'!P171</f>
        <v>5.906E-5</v>
      </c>
    </row>
    <row r="172" spans="1:2">
      <c r="A172" t="str">
        <f>'REF-Bittrex'!O172</f>
        <v>btcuno</v>
      </c>
      <c r="B172">
        <f>'REF-Bittrex'!P172</f>
        <v>1.9610800000000001E-2</v>
      </c>
    </row>
    <row r="173" spans="1:2">
      <c r="A173" t="str">
        <f>'REF-Bittrex'!O173</f>
        <v>btcvia</v>
      </c>
      <c r="B173">
        <f>'REF-Bittrex'!P173</f>
        <v>2.9777999999999998E-4</v>
      </c>
    </row>
    <row r="174" spans="1:2">
      <c r="A174" t="str">
        <f>'REF-Bittrex'!O174</f>
        <v>btcvox</v>
      </c>
      <c r="B174">
        <f>'REF-Bittrex'!P174</f>
        <v>1.358E-5</v>
      </c>
    </row>
    <row r="175" spans="1:2">
      <c r="A175" t="str">
        <f>'REF-Bittrex'!O175</f>
        <v>btcvrc</v>
      </c>
      <c r="B175">
        <f>'REF-Bittrex'!P175</f>
        <v>8.6929999999999996E-5</v>
      </c>
    </row>
    <row r="176" spans="1:2">
      <c r="A176" t="str">
        <f>'REF-Bittrex'!O176</f>
        <v>btcvrm</v>
      </c>
      <c r="B176">
        <f>'REF-Bittrex'!P176</f>
        <v>5.0073999999999995E-4</v>
      </c>
    </row>
    <row r="177" spans="1:2">
      <c r="A177" t="str">
        <f>'REF-Bittrex'!O177</f>
        <v>btcvtc</v>
      </c>
      <c r="B177">
        <f>'REF-Bittrex'!P177</f>
        <v>2.0746999999999999E-4</v>
      </c>
    </row>
    <row r="178" spans="1:2">
      <c r="A178" t="str">
        <f>'REF-Bittrex'!O178</f>
        <v>btcvtr</v>
      </c>
      <c r="B178">
        <f>'REF-Bittrex'!P178</f>
        <v>4.3600000000000003E-5</v>
      </c>
    </row>
    <row r="179" spans="1:2">
      <c r="A179" t="str">
        <f>'REF-Bittrex'!O179</f>
        <v>btcwaves</v>
      </c>
      <c r="B179">
        <f>'REF-Bittrex'!P179</f>
        <v>1.0702000000000001E-3</v>
      </c>
    </row>
    <row r="180" spans="1:2">
      <c r="A180" t="str">
        <f>'REF-Bittrex'!O180</f>
        <v>btcwings</v>
      </c>
      <c r="B180">
        <f>'REF-Bittrex'!P180</f>
        <v>1.595E-4</v>
      </c>
    </row>
    <row r="181" spans="1:2">
      <c r="A181" t="str">
        <f>'REF-Bittrex'!O181</f>
        <v>btcxaur</v>
      </c>
      <c r="B181">
        <f>'REF-Bittrex'!P181</f>
        <v>4.0049999999999998E-5</v>
      </c>
    </row>
    <row r="182" spans="1:2">
      <c r="A182" t="str">
        <f>'REF-Bittrex'!O182</f>
        <v>btcxbb</v>
      </c>
      <c r="B182">
        <f>'REF-Bittrex'!P182</f>
        <v>5.605E-5</v>
      </c>
    </row>
    <row r="183" spans="1:2">
      <c r="A183" t="str">
        <f>'REF-Bittrex'!O183</f>
        <v>btcxcp</v>
      </c>
      <c r="B183">
        <f>'REF-Bittrex'!P183</f>
        <v>2.8156100000000001E-3</v>
      </c>
    </row>
    <row r="184" spans="1:2">
      <c r="A184" t="str">
        <f>'REF-Bittrex'!O184</f>
        <v>btcxdn</v>
      </c>
      <c r="B184">
        <f>'REF-Bittrex'!P184</f>
        <v>5.5000000000000003E-7</v>
      </c>
    </row>
    <row r="185" spans="1:2">
      <c r="A185" t="str">
        <f>'REF-Bittrex'!O185</f>
        <v>btcxel</v>
      </c>
      <c r="B185">
        <f>'REF-Bittrex'!P185</f>
        <v>1.0704000000000001E-4</v>
      </c>
    </row>
    <row r="186" spans="1:2">
      <c r="A186" t="str">
        <f>'REF-Bittrex'!O186</f>
        <v>btcxem</v>
      </c>
      <c r="B186">
        <f>'REF-Bittrex'!P186</f>
        <v>6.3479999999999995E-5</v>
      </c>
    </row>
    <row r="187" spans="1:2">
      <c r="A187" t="str">
        <f>'REF-Bittrex'!O187</f>
        <v>btcxlm</v>
      </c>
      <c r="B187">
        <f>'REF-Bittrex'!P187</f>
        <v>4.42E-6</v>
      </c>
    </row>
    <row r="188" spans="1:2">
      <c r="A188" t="str">
        <f>'REF-Bittrex'!O188</f>
        <v>btcxmg</v>
      </c>
      <c r="B188">
        <f>'REF-Bittrex'!P188</f>
        <v>5.571E-5</v>
      </c>
    </row>
    <row r="189" spans="1:2">
      <c r="A189" t="str">
        <f>'REF-Bittrex'!O189</f>
        <v>btcxmr</v>
      </c>
      <c r="B189">
        <f>'REF-Bittrex'!P189</f>
        <v>2.665E-2</v>
      </c>
    </row>
    <row r="190" spans="1:2">
      <c r="A190" t="str">
        <f>'REF-Bittrex'!O190</f>
        <v>btcxmy</v>
      </c>
      <c r="B190">
        <f>'REF-Bittrex'!P190</f>
        <v>5.7999999999999995E-7</v>
      </c>
    </row>
    <row r="191" spans="1:2">
      <c r="A191" t="str">
        <f>'REF-Bittrex'!O191</f>
        <v>btcxrp</v>
      </c>
      <c r="B191">
        <f>'REF-Bittrex'!P191</f>
        <v>4.9079999999999998E-5</v>
      </c>
    </row>
    <row r="192" spans="1:2">
      <c r="A192" t="str">
        <f>'REF-Bittrex'!O192</f>
        <v>btcxst</v>
      </c>
      <c r="B192">
        <f>'REF-Bittrex'!P192</f>
        <v>3.5040000000000003E-5</v>
      </c>
    </row>
    <row r="193" spans="1:2">
      <c r="A193" t="str">
        <f>'REF-Bittrex'!O193</f>
        <v>btcxvc</v>
      </c>
      <c r="B193">
        <f>'REF-Bittrex'!P193</f>
        <v>1.0999E-4</v>
      </c>
    </row>
    <row r="194" spans="1:2">
      <c r="A194" t="str">
        <f>'REF-Bittrex'!O194</f>
        <v>btcxvg</v>
      </c>
      <c r="B194">
        <f>'REF-Bittrex'!P194</f>
        <v>1.61E-6</v>
      </c>
    </row>
    <row r="195" spans="1:2">
      <c r="A195" t="str">
        <f>'REF-Bittrex'!O195</f>
        <v>btcxwc</v>
      </c>
      <c r="B195">
        <f>'REF-Bittrex'!P195</f>
        <v>3.1599999999999998E-6</v>
      </c>
    </row>
    <row r="196" spans="1:2">
      <c r="A196" t="str">
        <f>'REF-Bittrex'!O196</f>
        <v>btcxzc</v>
      </c>
      <c r="B196">
        <f>'REF-Bittrex'!P196</f>
        <v>2.4128700000000001E-3</v>
      </c>
    </row>
    <row r="197" spans="1:2">
      <c r="A197" t="str">
        <f>'REF-Bittrex'!O197</f>
        <v>btczcl</v>
      </c>
      <c r="B197">
        <f>'REF-Bittrex'!P197</f>
        <v>4.5000999999999998E-4</v>
      </c>
    </row>
    <row r="198" spans="1:2">
      <c r="A198" t="str">
        <f>'REF-Bittrex'!O198</f>
        <v>btczec</v>
      </c>
      <c r="B198">
        <f>'REF-Bittrex'!P198</f>
        <v>5.2699990000000002E-2</v>
      </c>
    </row>
    <row r="199" spans="1:2">
      <c r="A199" t="str">
        <f>'REF-Bittrex'!O199</f>
        <v>btczen</v>
      </c>
      <c r="B199">
        <f>'REF-Bittrex'!P199</f>
        <v>2E-3</v>
      </c>
    </row>
    <row r="200" spans="1:2">
      <c r="A200" t="str">
        <f>'REF-Bittrex'!O200</f>
        <v>eth1st</v>
      </c>
      <c r="B200">
        <f>'REF-Bittrex'!P200</f>
        <v>1.27775E-3</v>
      </c>
    </row>
    <row r="201" spans="1:2">
      <c r="A201" t="str">
        <f>'REF-Bittrex'!O201</f>
        <v>ethadt</v>
      </c>
      <c r="B201">
        <f>'REF-Bittrex'!P201</f>
        <v>1.47E-4</v>
      </c>
    </row>
    <row r="202" spans="1:2">
      <c r="A202" t="str">
        <f>'REF-Bittrex'!O202</f>
        <v>ethadx</v>
      </c>
      <c r="B202">
        <f>'REF-Bittrex'!P202</f>
        <v>2.9499999999999999E-3</v>
      </c>
    </row>
    <row r="203" spans="1:2">
      <c r="A203" t="str">
        <f>'REF-Bittrex'!O203</f>
        <v>ethant</v>
      </c>
      <c r="B203">
        <f>'REF-Bittrex'!P203</f>
        <v>6.57356E-3</v>
      </c>
    </row>
    <row r="204" spans="1:2">
      <c r="A204" t="str">
        <f>'REF-Bittrex'!O204</f>
        <v>ethbat</v>
      </c>
      <c r="B204">
        <f>'REF-Bittrex'!P204</f>
        <v>7.3094000000000002E-4</v>
      </c>
    </row>
    <row r="205" spans="1:2">
      <c r="A205" t="str">
        <f>'REF-Bittrex'!O205</f>
        <v>ethbcc</v>
      </c>
      <c r="B205">
        <f>'REF-Bittrex'!P205</f>
        <v>2.0993228199999998</v>
      </c>
    </row>
    <row r="206" spans="1:2">
      <c r="A206" t="str">
        <f>'REF-Bittrex'!O206</f>
        <v>ethbnt</v>
      </c>
      <c r="B206">
        <f>'REF-Bittrex'!P206</f>
        <v>7.9300299999999994E-3</v>
      </c>
    </row>
    <row r="207" spans="1:2">
      <c r="A207" t="str">
        <f>'REF-Bittrex'!O207</f>
        <v>ethbts</v>
      </c>
      <c r="B207">
        <f>'REF-Bittrex'!P207</f>
        <v>4.3899999999999999E-4</v>
      </c>
    </row>
    <row r="208" spans="1:2">
      <c r="A208" t="str">
        <f>'REF-Bittrex'!O208</f>
        <v>ethcfi</v>
      </c>
      <c r="B208">
        <f>'REF-Bittrex'!P208</f>
        <v>5.2621999999999999E-4</v>
      </c>
    </row>
    <row r="209" spans="1:2">
      <c r="A209" t="str">
        <f>'REF-Bittrex'!O209</f>
        <v>ethcrb</v>
      </c>
      <c r="B209">
        <f>'REF-Bittrex'!P209</f>
        <v>2.19426E-3</v>
      </c>
    </row>
    <row r="210" spans="1:2">
      <c r="A210" t="str">
        <f>'REF-Bittrex'!O210</f>
        <v>ethcvc</v>
      </c>
      <c r="B210">
        <f>'REF-Bittrex'!P210</f>
        <v>1.27768E-3</v>
      </c>
    </row>
    <row r="211" spans="1:2">
      <c r="A211" t="str">
        <f>'REF-Bittrex'!O211</f>
        <v>ethdash</v>
      </c>
      <c r="B211">
        <f>'REF-Bittrex'!P211</f>
        <v>1.05</v>
      </c>
    </row>
    <row r="212" spans="1:2">
      <c r="A212" t="str">
        <f>'REF-Bittrex'!O212</f>
        <v>ethdgb</v>
      </c>
      <c r="B212">
        <f>'REF-Bittrex'!P212</f>
        <v>5.4809999999999999E-5</v>
      </c>
    </row>
    <row r="213" spans="1:2">
      <c r="A213" t="str">
        <f>'REF-Bittrex'!O213</f>
        <v>ethdgd</v>
      </c>
      <c r="B213">
        <f>'REF-Bittrex'!P213</f>
        <v>0.27167352</v>
      </c>
    </row>
    <row r="214" spans="1:2">
      <c r="A214" t="str">
        <f>'REF-Bittrex'!O214</f>
        <v>ethetc</v>
      </c>
      <c r="B214">
        <f>'REF-Bittrex'!P214</f>
        <v>5.5210000000000002E-2</v>
      </c>
    </row>
    <row r="215" spans="1:2">
      <c r="A215" t="str">
        <f>'REF-Bittrex'!O215</f>
        <v>ethfct</v>
      </c>
      <c r="B215">
        <f>'REF-Bittrex'!P215</f>
        <v>8.9093889999999995E-2</v>
      </c>
    </row>
    <row r="216" spans="1:2">
      <c r="A216" t="str">
        <f>'REF-Bittrex'!O216</f>
        <v>ethfun</v>
      </c>
      <c r="B216">
        <f>'REF-Bittrex'!P216</f>
        <v>8.653E-5</v>
      </c>
    </row>
    <row r="217" spans="1:2">
      <c r="A217" t="str">
        <f>'REF-Bittrex'!O217</f>
        <v>ethgno</v>
      </c>
      <c r="B217">
        <f>'REF-Bittrex'!P217</f>
        <v>0.47924013999999998</v>
      </c>
    </row>
    <row r="218" spans="1:2">
      <c r="A218" t="str">
        <f>'REF-Bittrex'!O218</f>
        <v>ethgnt</v>
      </c>
      <c r="B218">
        <f>'REF-Bittrex'!P218</f>
        <v>1.25164E-3</v>
      </c>
    </row>
    <row r="219" spans="1:2">
      <c r="A219" t="str">
        <f>'REF-Bittrex'!O219</f>
        <v>ethgup</v>
      </c>
      <c r="B219">
        <f>'REF-Bittrex'!P219</f>
        <v>6.4258000000000002E-4</v>
      </c>
    </row>
    <row r="220" spans="1:2">
      <c r="A220" t="str">
        <f>'REF-Bittrex'!O220</f>
        <v>ethhmq</v>
      </c>
      <c r="B220">
        <f>'REF-Bittrex'!P220</f>
        <v>4.1221999999999998E-4</v>
      </c>
    </row>
    <row r="221" spans="1:2">
      <c r="A221" t="str">
        <f>'REF-Bittrex'!O221</f>
        <v>ethlgd</v>
      </c>
      <c r="B221">
        <f>'REF-Bittrex'!P221</f>
        <v>4.5182E-3</v>
      </c>
    </row>
    <row r="222" spans="1:2">
      <c r="A222" t="str">
        <f>'REF-Bittrex'!O222</f>
        <v>ethltc</v>
      </c>
      <c r="B222">
        <f>'REF-Bittrex'!P222</f>
        <v>0.24155009</v>
      </c>
    </row>
    <row r="223" spans="1:2">
      <c r="A223" t="str">
        <f>'REF-Bittrex'!O223</f>
        <v>ethlun</v>
      </c>
      <c r="B223">
        <f>'REF-Bittrex'!P223</f>
        <v>2.6200000000000001E-2</v>
      </c>
    </row>
    <row r="224" spans="1:2">
      <c r="A224" t="str">
        <f>'REF-Bittrex'!O224</f>
        <v>ethmco</v>
      </c>
      <c r="B224">
        <f>'REF-Bittrex'!P224</f>
        <v>3.3126099999999999E-2</v>
      </c>
    </row>
    <row r="225" spans="1:2">
      <c r="A225" t="str">
        <f>'REF-Bittrex'!O225</f>
        <v>ethmtl</v>
      </c>
      <c r="B225">
        <f>'REF-Bittrex'!P225</f>
        <v>4.132106E-2</v>
      </c>
    </row>
    <row r="226" spans="1:2">
      <c r="A226" t="str">
        <f>'REF-Bittrex'!O226</f>
        <v>ethmyst</v>
      </c>
      <c r="B226">
        <f>'REF-Bittrex'!P226</f>
        <v>3.7021300000000001E-3</v>
      </c>
    </row>
    <row r="227" spans="1:2">
      <c r="A227" t="str">
        <f>'REF-Bittrex'!O227</f>
        <v>ethneo</v>
      </c>
      <c r="B227">
        <f>'REF-Bittrex'!P227</f>
        <v>9.1841450000000005E-2</v>
      </c>
    </row>
    <row r="228" spans="1:2">
      <c r="A228" t="str">
        <f>'REF-Bittrex'!O228</f>
        <v>ethnmr</v>
      </c>
      <c r="B228">
        <f>'REF-Bittrex'!P228</f>
        <v>6.4770620000000001E-2</v>
      </c>
    </row>
    <row r="229" spans="1:2">
      <c r="A229" t="str">
        <f>'REF-Bittrex'!O229</f>
        <v>ethomg</v>
      </c>
      <c r="B229">
        <f>'REF-Bittrex'!P229</f>
        <v>3.8899999999999997E-2</v>
      </c>
    </row>
    <row r="230" spans="1:2">
      <c r="A230" t="str">
        <f>'REF-Bittrex'!O230</f>
        <v>ethpay</v>
      </c>
      <c r="B230">
        <f>'REF-Bittrex'!P230</f>
        <v>9.9520000000000008E-3</v>
      </c>
    </row>
    <row r="231" spans="1:2">
      <c r="A231" t="str">
        <f>'REF-Bittrex'!O231</f>
        <v>ethptoy</v>
      </c>
      <c r="B231">
        <f>'REF-Bittrex'!P231</f>
        <v>1.1195599999999999E-3</v>
      </c>
    </row>
    <row r="232" spans="1:2">
      <c r="A232" t="str">
        <f>'REF-Bittrex'!O232</f>
        <v>ethqrl</v>
      </c>
      <c r="B232">
        <f>'REF-Bittrex'!P232</f>
        <v>1.9422199999999999E-3</v>
      </c>
    </row>
    <row r="233" spans="1:2">
      <c r="A233" t="str">
        <f>'REF-Bittrex'!O233</f>
        <v>ethqtum</v>
      </c>
      <c r="B233">
        <f>'REF-Bittrex'!P233</f>
        <v>4.2528070000000001E-2</v>
      </c>
    </row>
    <row r="234" spans="1:2">
      <c r="A234" t="str">
        <f>'REF-Bittrex'!O234</f>
        <v>ethrep</v>
      </c>
      <c r="B234">
        <f>'REF-Bittrex'!P234</f>
        <v>7.2936360000000006E-2</v>
      </c>
    </row>
    <row r="235" spans="1:2">
      <c r="A235" t="str">
        <f>'REF-Bittrex'!O235</f>
        <v>ethrlc</v>
      </c>
      <c r="B235">
        <f>'REF-Bittrex'!P235</f>
        <v>1.7599899999999999E-3</v>
      </c>
    </row>
    <row r="236" spans="1:2">
      <c r="A236" t="str">
        <f>'REF-Bittrex'!O236</f>
        <v>ethsc</v>
      </c>
      <c r="B236">
        <f>'REF-Bittrex'!P236</f>
        <v>2.3289999999999999E-5</v>
      </c>
    </row>
    <row r="237" spans="1:2">
      <c r="A237" t="str">
        <f>'REF-Bittrex'!O237</f>
        <v>ethsngls</v>
      </c>
      <c r="B237">
        <f>'REF-Bittrex'!P237</f>
        <v>4.2625999999999997E-4</v>
      </c>
    </row>
    <row r="238" spans="1:2">
      <c r="A238" t="str">
        <f>'REF-Bittrex'!O238</f>
        <v>ethsnt</v>
      </c>
      <c r="B238">
        <f>'REF-Bittrex'!P238</f>
        <v>1.0811000000000001E-4</v>
      </c>
    </row>
    <row r="239" spans="1:2">
      <c r="A239" t="str">
        <f>'REF-Bittrex'!O239</f>
        <v>ethstorj</v>
      </c>
      <c r="B239">
        <f>'REF-Bittrex'!P239</f>
        <v>2.0899999999999998E-3</v>
      </c>
    </row>
    <row r="240" spans="1:2">
      <c r="A240" t="str">
        <f>'REF-Bittrex'!O240</f>
        <v>ethstrat</v>
      </c>
      <c r="B240">
        <f>'REF-Bittrex'!P240</f>
        <v>1.9199529999999999E-2</v>
      </c>
    </row>
    <row r="241" spans="1:2">
      <c r="A241" t="str">
        <f>'REF-Bittrex'!O241</f>
        <v>ethtime</v>
      </c>
      <c r="B241">
        <f>'REF-Bittrex'!P241</f>
        <v>6.9000000000000006E-2</v>
      </c>
    </row>
    <row r="242" spans="1:2">
      <c r="A242" t="str">
        <f>'REF-Bittrex'!O242</f>
        <v>ethtkn</v>
      </c>
      <c r="B242">
        <f>'REF-Bittrex'!P242</f>
        <v>5.23092E-3</v>
      </c>
    </row>
    <row r="243" spans="1:2">
      <c r="A243" t="str">
        <f>'REF-Bittrex'!O243</f>
        <v>ethtrst</v>
      </c>
      <c r="B243">
        <f>'REF-Bittrex'!P243</f>
        <v>8.7414000000000003E-4</v>
      </c>
    </row>
    <row r="244" spans="1:2">
      <c r="A244" t="str">
        <f>'REF-Bittrex'!O244</f>
        <v>ethwaves</v>
      </c>
      <c r="B244">
        <f>'REF-Bittrex'!P244</f>
        <v>1.5137400000000001E-2</v>
      </c>
    </row>
    <row r="245" spans="1:2">
      <c r="A245" t="str">
        <f>'REF-Bittrex'!O245</f>
        <v>ethwings</v>
      </c>
      <c r="B245">
        <f>'REF-Bittrex'!P245</f>
        <v>2.2555499999999998E-3</v>
      </c>
    </row>
    <row r="246" spans="1:2">
      <c r="A246" t="str">
        <f>'REF-Bittrex'!O246</f>
        <v>ethxem</v>
      </c>
      <c r="B246">
        <f>'REF-Bittrex'!P246</f>
        <v>8.8000000000000003E-4</v>
      </c>
    </row>
    <row r="247" spans="1:2">
      <c r="A247" t="str">
        <f>'REF-Bittrex'!O247</f>
        <v>ethxlm</v>
      </c>
      <c r="B247">
        <f>'REF-Bittrex'!P247</f>
        <v>6.1989999999999994E-5</v>
      </c>
    </row>
    <row r="248" spans="1:2">
      <c r="A248" t="str">
        <f>'REF-Bittrex'!O248</f>
        <v>ethxmr</v>
      </c>
      <c r="B248">
        <f>'REF-Bittrex'!P248</f>
        <v>0.36799999999999999</v>
      </c>
    </row>
    <row r="249" spans="1:2">
      <c r="A249" t="str">
        <f>'REF-Bittrex'!O249</f>
        <v>ethxrp</v>
      </c>
      <c r="B249">
        <f>'REF-Bittrex'!P249</f>
        <v>6.8000000000000005E-4</v>
      </c>
    </row>
    <row r="250" spans="1:2">
      <c r="A250" t="str">
        <f>'REF-Bittrex'!O250</f>
        <v>ethzec</v>
      </c>
      <c r="B250">
        <f>'REF-Bittrex'!P250</f>
        <v>0.73301000000000005</v>
      </c>
    </row>
    <row r="251" spans="1:2">
      <c r="A251" t="str">
        <f>'REF-Bittrex'!O251</f>
        <v>usdtbcc</v>
      </c>
      <c r="B251">
        <f>'REF-Bittrex'!P251</f>
        <v>680.00000025999998</v>
      </c>
    </row>
    <row r="252" spans="1:2">
      <c r="A252" t="str">
        <f>'REF-Bittrex'!O252</f>
        <v>usdtbtc</v>
      </c>
      <c r="B252">
        <f>'REF-Bittrex'!P252</f>
        <v>4561.0000000099999</v>
      </c>
    </row>
    <row r="253" spans="1:2">
      <c r="A253" t="str">
        <f>'REF-Bittrex'!O253</f>
        <v>usdtdash</v>
      </c>
      <c r="B253">
        <f>'REF-Bittrex'!P253</f>
        <v>345</v>
      </c>
    </row>
    <row r="254" spans="1:2">
      <c r="A254" t="str">
        <f>'REF-Bittrex'!O254</f>
        <v>usdtetc</v>
      </c>
      <c r="B254">
        <f>'REF-Bittrex'!P254</f>
        <v>18.202000000000002</v>
      </c>
    </row>
    <row r="255" spans="1:2">
      <c r="A255" t="str">
        <f>'REF-Bittrex'!O255</f>
        <v>usdteth</v>
      </c>
      <c r="B255">
        <f>'REF-Bittrex'!P255</f>
        <v>330</v>
      </c>
    </row>
    <row r="256" spans="1:2">
      <c r="A256" t="str">
        <f>'REF-Bittrex'!O256</f>
        <v>usdtltc</v>
      </c>
      <c r="B256">
        <f>'REF-Bittrex'!P256</f>
        <v>79.801000009999996</v>
      </c>
    </row>
    <row r="257" spans="1:2">
      <c r="A257" t="str">
        <f>'REF-Bittrex'!O257</f>
        <v>usdtneo</v>
      </c>
      <c r="B257">
        <f>'REF-Bittrex'!P257</f>
        <v>30.380855</v>
      </c>
    </row>
    <row r="258" spans="1:2">
      <c r="A258" t="str">
        <f>'REF-Bittrex'!O260</f>
        <v>usdtzec</v>
      </c>
      <c r="B258">
        <f>'REF-Bittrex'!P260</f>
        <v>244.64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B21"/>
  <sheetViews>
    <sheetView workbookViewId="0">
      <selection sqref="A1:A1048576"/>
    </sheetView>
  </sheetViews>
  <sheetFormatPr defaultRowHeight="13.8"/>
  <cols>
    <col min="2" max="2" width="12.59765625" customWidth="1"/>
  </cols>
  <sheetData>
    <row r="1" spans="1:2">
      <c r="A1" t="s">
        <v>17</v>
      </c>
      <c r="B1" t="s">
        <v>79</v>
      </c>
    </row>
    <row r="2" spans="1:2">
      <c r="A2" t="str">
        <f>'REF-BX.in.th'!H2</f>
        <v>btcthb</v>
      </c>
      <c r="B2">
        <f>'REF-BX.in.th'!I2</f>
        <v>147500</v>
      </c>
    </row>
    <row r="3" spans="1:2">
      <c r="A3" t="str">
        <f>'REF-BX.in.th'!H3</f>
        <v>eththb</v>
      </c>
      <c r="B3">
        <f>'REF-BX.in.th'!I3</f>
        <v>10652</v>
      </c>
    </row>
    <row r="4" spans="1:2">
      <c r="A4" t="str">
        <f>'REF-BX.in.th'!H4</f>
        <v>dasthb</v>
      </c>
      <c r="B4">
        <f>'REF-BX.in.th'!I4</f>
        <v>11009</v>
      </c>
    </row>
    <row r="5" spans="1:2">
      <c r="A5" t="str">
        <f>'REF-BX.in.th'!H5</f>
        <v>repthb</v>
      </c>
      <c r="B5">
        <f>'REF-BX.in.th'!I5</f>
        <v>760.01100000999998</v>
      </c>
    </row>
    <row r="6" spans="1:2">
      <c r="A6" t="str">
        <f>'REF-BX.in.th'!H6</f>
        <v>ethbtc</v>
      </c>
      <c r="B6">
        <f>'REF-BX.in.th'!I6</f>
        <v>7.0900009999999999E-2</v>
      </c>
    </row>
    <row r="7" spans="1:2">
      <c r="A7" t="str">
        <f>'REF-BX.in.th'!H7</f>
        <v>dogbtc</v>
      </c>
      <c r="B7">
        <f>'REF-BX.in.th'!I7</f>
        <v>4.3000000000000001E-7</v>
      </c>
    </row>
    <row r="8" spans="1:2">
      <c r="A8" t="str">
        <f>'REF-BX.in.th'!H8</f>
        <v>ftcbtc</v>
      </c>
      <c r="B8">
        <f>'REF-BX.in.th'!I8</f>
        <v>1.0139999999999999E-5</v>
      </c>
    </row>
    <row r="9" spans="1:2">
      <c r="A9" t="str">
        <f>'REF-BX.in.th'!H9</f>
        <v>gnothb</v>
      </c>
      <c r="B9">
        <f>'REF-BX.in.th'!I9</f>
        <v>5120</v>
      </c>
    </row>
    <row r="10" spans="1:2">
      <c r="A10" t="str">
        <f>'REF-BX.in.th'!H10</f>
        <v>hypbtc</v>
      </c>
      <c r="B10">
        <f>'REF-BX.in.th'!I10</f>
        <v>4.4000000000000002E-7</v>
      </c>
    </row>
    <row r="11" spans="1:2">
      <c r="A11" t="str">
        <f>'REF-BX.in.th'!H11</f>
        <v>ltcbtc</v>
      </c>
      <c r="B11">
        <f>'REF-BX.in.th'!I11</f>
        <v>1.7250000000000001E-2</v>
      </c>
    </row>
    <row r="12" spans="1:2">
      <c r="A12" t="str">
        <f>'REF-BX.in.th'!H12</f>
        <v>nmcbtc</v>
      </c>
      <c r="B12">
        <f>'REF-BX.in.th'!I12</f>
        <v>4.0099999999999999E-4</v>
      </c>
    </row>
    <row r="13" spans="1:2">
      <c r="A13" t="str">
        <f>'REF-BX.in.th'!H13</f>
        <v>omgthb</v>
      </c>
      <c r="B13">
        <f>'REF-BX.in.th'!I13</f>
        <v>407</v>
      </c>
    </row>
    <row r="14" spans="1:2">
      <c r="A14" t="str">
        <f>'REF-BX.in.th'!H14</f>
        <v>pndbtc</v>
      </c>
      <c r="B14">
        <f>'REF-BX.in.th'!I14</f>
        <v>1E-8</v>
      </c>
    </row>
    <row r="15" spans="1:2">
      <c r="A15" t="str">
        <f>'REF-BX.in.th'!H15</f>
        <v>ppcbtc</v>
      </c>
      <c r="B15">
        <f>'REF-BX.in.th'!I15</f>
        <v>3.1117999999999999E-4</v>
      </c>
    </row>
    <row r="16" spans="1:2">
      <c r="A16" t="str">
        <f>'REF-BX.in.th'!H16</f>
        <v>qrkbtc</v>
      </c>
      <c r="B16">
        <f>'REF-BX.in.th'!I16</f>
        <v>6.9999999999999999E-6</v>
      </c>
    </row>
    <row r="17" spans="1:2">
      <c r="A17" t="str">
        <f>'REF-BX.in.th'!H17</f>
        <v>xcnbtc</v>
      </c>
      <c r="B17">
        <f>'REF-BX.in.th'!I17</f>
        <v>1.5400000000000001E-6</v>
      </c>
    </row>
    <row r="18" spans="1:2">
      <c r="A18" t="str">
        <f>'REF-BX.in.th'!H18</f>
        <v>xpmbtc</v>
      </c>
      <c r="B18">
        <f>'REF-BX.in.th'!I18</f>
        <v>6.5160000000000006E-5</v>
      </c>
    </row>
    <row r="19" spans="1:2">
      <c r="A19" t="str">
        <f>'REF-BX.in.th'!H19</f>
        <v>xpybtc</v>
      </c>
      <c r="B19">
        <f>'REF-BX.in.th'!I19</f>
        <v>3.1E-6</v>
      </c>
    </row>
    <row r="20" spans="1:2">
      <c r="A20" t="str">
        <f>'REF-BX.in.th'!H20</f>
        <v>xrpthb</v>
      </c>
      <c r="B20">
        <f>'REF-BX.in.th'!I20</f>
        <v>7.32</v>
      </c>
    </row>
    <row r="21" spans="1:2">
      <c r="A21" t="str">
        <f>'REF-BX.in.th'!H21</f>
        <v>zecbtc</v>
      </c>
      <c r="B21">
        <f>'REF-BX.in.th'!I21</f>
        <v>5.2357010000000002E-2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K81"/>
  <sheetViews>
    <sheetView topLeftCell="C1" workbookViewId="0">
      <selection activeCell="K24" sqref="K24"/>
    </sheetView>
  </sheetViews>
  <sheetFormatPr defaultRowHeight="13.8"/>
  <cols>
    <col min="1" max="1" width="8.19921875" bestFit="1" customWidth="1"/>
    <col min="2" max="2" width="12.8984375" bestFit="1" customWidth="1"/>
    <col min="3" max="3" width="18.19921875" bestFit="1" customWidth="1"/>
    <col min="4" max="4" width="20.796875" bestFit="1" customWidth="1"/>
    <col min="5" max="5" width="21.3984375" bestFit="1" customWidth="1"/>
    <col min="6" max="6" width="12.296875" bestFit="1" customWidth="1"/>
    <col min="7" max="7" width="25.59765625" bestFit="1" customWidth="1"/>
    <col min="8" max="8" width="8" style="25" bestFit="1" customWidth="1"/>
    <col min="9" max="9" width="9.296875" style="30" bestFit="1" customWidth="1"/>
    <col min="10" max="10" width="4.09765625" customWidth="1"/>
    <col min="11" max="11" width="39.3984375" customWidth="1"/>
  </cols>
  <sheetData>
    <row r="1" spans="1:11">
      <c r="A1" s="1" t="s">
        <v>105</v>
      </c>
      <c r="B1" s="1" t="s">
        <v>905</v>
      </c>
      <c r="C1" s="1" t="s">
        <v>906</v>
      </c>
      <c r="D1" s="1" t="s">
        <v>907</v>
      </c>
      <c r="E1" s="1" t="s">
        <v>908</v>
      </c>
      <c r="F1" s="1" t="s">
        <v>909</v>
      </c>
      <c r="G1" s="1" t="s">
        <v>910</v>
      </c>
      <c r="H1" s="22" t="s">
        <v>1243</v>
      </c>
      <c r="I1" s="28" t="s">
        <v>80</v>
      </c>
      <c r="K1" s="41" t="s">
        <v>1238</v>
      </c>
    </row>
    <row r="2" spans="1:11">
      <c r="A2" s="1" t="s">
        <v>911</v>
      </c>
      <c r="B2" s="1" t="s">
        <v>912</v>
      </c>
      <c r="C2" s="1" t="s">
        <v>912</v>
      </c>
      <c r="D2" s="1" t="s">
        <v>913</v>
      </c>
      <c r="E2" s="1" t="s">
        <v>914</v>
      </c>
      <c r="F2" s="1">
        <v>3.0205793320157E-2</v>
      </c>
      <c r="G2" s="1" t="s">
        <v>1478</v>
      </c>
      <c r="H2" s="25" t="str">
        <f>LOWER(CONCATENATE(FloatRates[[#This Row],[Value.code]],SUBSTITUTE(SUBSTITUTE(YOURCURRENCY,"http://www.floatrates.com/daily/",""),".json","")))</f>
        <v>usdthb</v>
      </c>
      <c r="I2" s="30">
        <f>1/FloatRates[[#This Row],[Value.rate]]</f>
        <v>33.106231953612607</v>
      </c>
      <c r="K2" s="44" t="s">
        <v>1237</v>
      </c>
    </row>
    <row r="3" spans="1:11">
      <c r="A3" s="1" t="s">
        <v>915</v>
      </c>
      <c r="B3" s="1" t="s">
        <v>916</v>
      </c>
      <c r="C3" s="1" t="s">
        <v>916</v>
      </c>
      <c r="D3" s="1" t="s">
        <v>917</v>
      </c>
      <c r="E3" s="1" t="s">
        <v>918</v>
      </c>
      <c r="F3" s="1">
        <v>2.5214528809393E-2</v>
      </c>
      <c r="G3" s="1" t="s">
        <v>1478</v>
      </c>
      <c r="H3" s="25" t="str">
        <f>LOWER(CONCATENATE(FloatRates[[#This Row],[Value.code]],SUBSTITUTE(SUBSTITUTE(YOURCURRENCY,"http://www.floatrates.com/daily/",""),".json","")))</f>
        <v>eurthb</v>
      </c>
      <c r="I3" s="30">
        <f>1/FloatRates[[#This Row],[Value.rate]]</f>
        <v>39.659674291731228</v>
      </c>
    </row>
    <row r="4" spans="1:11">
      <c r="A4" s="1" t="s">
        <v>919</v>
      </c>
      <c r="B4" s="1" t="s">
        <v>920</v>
      </c>
      <c r="C4" s="1" t="s">
        <v>920</v>
      </c>
      <c r="D4" s="1" t="s">
        <v>921</v>
      </c>
      <c r="E4" s="1" t="s">
        <v>922</v>
      </c>
      <c r="F4" s="1">
        <v>2.3079188240607E-2</v>
      </c>
      <c r="G4" s="1" t="s">
        <v>1478</v>
      </c>
      <c r="H4" s="25" t="str">
        <f>LOWER(CONCATENATE(FloatRates[[#This Row],[Value.code]],SUBSTITUTE(SUBSTITUTE(YOURCURRENCY,"http://www.floatrates.com/daily/",""),".json","")))</f>
        <v>gbpthb</v>
      </c>
      <c r="I4" s="30">
        <f>1/FloatRates[[#This Row],[Value.rate]]</f>
        <v>43.329080276772302</v>
      </c>
      <c r="K4" t="s">
        <v>1239</v>
      </c>
    </row>
    <row r="5" spans="1:11">
      <c r="A5" s="1" t="s">
        <v>935</v>
      </c>
      <c r="B5" s="1" t="s">
        <v>936</v>
      </c>
      <c r="C5" s="1" t="s">
        <v>936</v>
      </c>
      <c r="D5" s="1" t="s">
        <v>937</v>
      </c>
      <c r="E5" s="1" t="s">
        <v>938</v>
      </c>
      <c r="F5" s="1">
        <v>3.7722685925440001E-2</v>
      </c>
      <c r="G5" s="1" t="s">
        <v>1478</v>
      </c>
      <c r="H5" s="25" t="str">
        <f>LOWER(CONCATENATE(FloatRates[[#This Row],[Value.code]],SUBSTITUTE(SUBSTITUTE(YOURCURRENCY,"http://www.floatrates.com/daily/",""),".json","")))</f>
        <v>audthb</v>
      </c>
      <c r="I5" s="30">
        <f>1/FloatRates[[#This Row],[Value.rate]]</f>
        <v>26.509247034437831</v>
      </c>
    </row>
    <row r="6" spans="1:11">
      <c r="A6" s="1" t="s">
        <v>923</v>
      </c>
      <c r="B6" s="1" t="s">
        <v>924</v>
      </c>
      <c r="C6" s="1" t="s">
        <v>924</v>
      </c>
      <c r="D6" s="1" t="s">
        <v>925</v>
      </c>
      <c r="E6" s="1" t="s">
        <v>926</v>
      </c>
      <c r="F6" s="1">
        <v>3.2893190364558</v>
      </c>
      <c r="G6" s="1" t="s">
        <v>1478</v>
      </c>
      <c r="H6" s="25" t="str">
        <f>LOWER(CONCATENATE(FloatRates[[#This Row],[Value.code]],SUBSTITUTE(SUBSTITUTE(YOURCURRENCY,"http://www.floatrates.com/daily/",""),".json","")))</f>
        <v>jpythb</v>
      </c>
      <c r="I6" s="30">
        <f>1/FloatRates[[#This Row],[Value.rate]]</f>
        <v>0.30401429259883755</v>
      </c>
      <c r="K6" s="40" t="s">
        <v>1240</v>
      </c>
    </row>
    <row r="7" spans="1:11">
      <c r="A7" s="1" t="s">
        <v>927</v>
      </c>
      <c r="B7" s="1" t="s">
        <v>928</v>
      </c>
      <c r="C7" s="1" t="s">
        <v>928</v>
      </c>
      <c r="D7" s="1" t="s">
        <v>929</v>
      </c>
      <c r="E7" s="1" t="s">
        <v>930</v>
      </c>
      <c r="F7" s="1">
        <v>2.8759953576238E-2</v>
      </c>
      <c r="G7" s="1" t="s">
        <v>1478</v>
      </c>
      <c r="H7" s="25" t="str">
        <f>LOWER(CONCATENATE(FloatRates[[#This Row],[Value.code]],SUBSTITUTE(SUBSTITUTE(YOURCURRENCY,"http://www.floatrates.com/daily/",""),".json","")))</f>
        <v>chfthb</v>
      </c>
      <c r="I7" s="30">
        <f>1/FloatRates[[#This Row],[Value.rate]]</f>
        <v>34.770570729509743</v>
      </c>
    </row>
    <row r="8" spans="1:11">
      <c r="A8" s="1" t="s">
        <v>931</v>
      </c>
      <c r="B8" s="1" t="s">
        <v>932</v>
      </c>
      <c r="C8" s="1" t="s">
        <v>932</v>
      </c>
      <c r="D8" s="1" t="s">
        <v>933</v>
      </c>
      <c r="E8" s="1" t="s">
        <v>934</v>
      </c>
      <c r="F8" s="1">
        <v>3.7081484266112998E-2</v>
      </c>
      <c r="G8" s="1" t="s">
        <v>1478</v>
      </c>
      <c r="H8" s="25" t="str">
        <f>LOWER(CONCATENATE(FloatRates[[#This Row],[Value.code]],SUBSTITUTE(SUBSTITUTE(YOURCURRENCY,"http://www.floatrates.com/daily/",""),".json","")))</f>
        <v>cadthb</v>
      </c>
      <c r="I8" s="30">
        <f>1/FloatRates[[#This Row],[Value.rate]]</f>
        <v>26.967636808266931</v>
      </c>
    </row>
    <row r="9" spans="1:11">
      <c r="A9" s="1" t="s">
        <v>1135</v>
      </c>
      <c r="B9" s="1" t="s">
        <v>1136</v>
      </c>
      <c r="C9" s="1" t="s">
        <v>1136</v>
      </c>
      <c r="D9" s="1" t="s">
        <v>1137</v>
      </c>
      <c r="E9" s="1" t="s">
        <v>1138</v>
      </c>
      <c r="F9" s="1">
        <v>0.65856983901427002</v>
      </c>
      <c r="G9" s="1" t="s">
        <v>1478</v>
      </c>
      <c r="H9" s="25" t="str">
        <f>LOWER(CONCATENATE(FloatRates[[#This Row],[Value.code]],SUBSTITUTE(SUBSTITUTE(YOURCURRENCY,"http://www.floatrates.com/daily/",""),".json","")))</f>
        <v>czkthb</v>
      </c>
      <c r="I9" s="30">
        <f>1/FloatRates[[#This Row],[Value.rate]]</f>
        <v>1.5184418428526483</v>
      </c>
    </row>
    <row r="10" spans="1:11">
      <c r="A10" s="1" t="s">
        <v>1139</v>
      </c>
      <c r="B10" s="1" t="s">
        <v>1140</v>
      </c>
      <c r="C10" s="1" t="s">
        <v>1140</v>
      </c>
      <c r="D10" s="1" t="s">
        <v>1141</v>
      </c>
      <c r="E10" s="1" t="s">
        <v>1142</v>
      </c>
      <c r="F10" s="1">
        <v>1.16141275316E-2</v>
      </c>
      <c r="G10" s="1" t="s">
        <v>1478</v>
      </c>
      <c r="H10" s="25" t="str">
        <f>LOWER(CONCATENATE(FloatRates[[#This Row],[Value.code]],SUBSTITUTE(SUBSTITUTE(YOURCURRENCY,"http://www.floatrates.com/daily/",""),".json","")))</f>
        <v>omrthb</v>
      </c>
      <c r="I10" s="30">
        <f>1/FloatRates[[#This Row],[Value.rate]]</f>
        <v>86.102033689502349</v>
      </c>
    </row>
    <row r="11" spans="1:11">
      <c r="A11" s="1" t="s">
        <v>1143</v>
      </c>
      <c r="B11" s="1" t="s">
        <v>1144</v>
      </c>
      <c r="C11" s="1" t="s">
        <v>1144</v>
      </c>
      <c r="D11" s="1" t="s">
        <v>1145</v>
      </c>
      <c r="E11" s="1" t="s">
        <v>1146</v>
      </c>
      <c r="F11" s="1">
        <v>6.0411586640313E-2</v>
      </c>
      <c r="G11" s="1" t="s">
        <v>1478</v>
      </c>
      <c r="H11" s="25" t="str">
        <f>LOWER(CONCATENATE(FloatRates[[#This Row],[Value.code]],SUBSTITUTE(SUBSTITUTE(YOURCURRENCY,"http://www.floatrates.com/daily/",""),".json","")))</f>
        <v>bbdthb</v>
      </c>
      <c r="I11" s="30">
        <f>1/FloatRates[[#This Row],[Value.rate]]</f>
        <v>16.553115976806581</v>
      </c>
    </row>
    <row r="12" spans="1:11">
      <c r="A12" s="1" t="s">
        <v>1147</v>
      </c>
      <c r="B12" s="1" t="s">
        <v>1148</v>
      </c>
      <c r="C12" s="1" t="s">
        <v>1148</v>
      </c>
      <c r="D12" s="1" t="s">
        <v>1149</v>
      </c>
      <c r="E12" s="1" t="s">
        <v>1150</v>
      </c>
      <c r="F12" s="1">
        <v>9.7694349980806006E-2</v>
      </c>
      <c r="G12" s="1" t="s">
        <v>1478</v>
      </c>
      <c r="H12" s="25" t="str">
        <f>LOWER(CONCATENATE(FloatRates[[#This Row],[Value.code]],SUBSTITUTE(SUBSTITUTE(YOURCURRENCY,"http://www.floatrates.com/daily/",""),".json","")))</f>
        <v>penthb</v>
      </c>
      <c r="I12" s="30">
        <f>1/FloatRates[[#This Row],[Value.rate]]</f>
        <v>10.236006485497573</v>
      </c>
    </row>
    <row r="13" spans="1:11">
      <c r="A13" s="1" t="s">
        <v>1151</v>
      </c>
      <c r="B13" s="1" t="s">
        <v>1152</v>
      </c>
      <c r="C13" s="1" t="s">
        <v>1152</v>
      </c>
      <c r="D13" s="1" t="s">
        <v>1153</v>
      </c>
      <c r="E13" s="1" t="s">
        <v>1154</v>
      </c>
      <c r="F13" s="1">
        <v>0.86961449629121002</v>
      </c>
      <c r="G13" s="1" t="s">
        <v>1478</v>
      </c>
      <c r="H13" s="25" t="str">
        <f>LOWER(CONCATENATE(FloatRates[[#This Row],[Value.code]],SUBSTITUTE(SUBSTITUTE(YOURCURRENCY,"http://www.floatrates.com/daily/",""),".json","")))</f>
        <v>uyuthb</v>
      </c>
      <c r="I13" s="30">
        <f>1/FloatRates[[#This Row],[Value.rate]]</f>
        <v>1.1499348323479734</v>
      </c>
    </row>
    <row r="14" spans="1:11">
      <c r="A14" s="1" t="s">
        <v>1175</v>
      </c>
      <c r="B14" s="1" t="s">
        <v>1176</v>
      </c>
      <c r="C14" s="1" t="s">
        <v>1176</v>
      </c>
      <c r="D14" s="1" t="s">
        <v>1177</v>
      </c>
      <c r="E14" s="1" t="s">
        <v>1178</v>
      </c>
      <c r="F14" s="1">
        <v>0.19612239685076999</v>
      </c>
      <c r="G14" s="1" t="s">
        <v>1478</v>
      </c>
      <c r="H14" s="25" t="str">
        <f>LOWER(CONCATENATE(FloatRates[[#This Row],[Value.code]],SUBSTITUTE(SUBSTITUTE(YOURCURRENCY,"http://www.floatrates.com/daily/",""),".json","")))</f>
        <v>cnythb</v>
      </c>
      <c r="I14" s="30">
        <f>1/FloatRates[[#This Row],[Value.rate]]</f>
        <v>5.098856714263504</v>
      </c>
    </row>
    <row r="15" spans="1:11">
      <c r="A15" s="1" t="s">
        <v>1155</v>
      </c>
      <c r="B15" s="1" t="s">
        <v>1156</v>
      </c>
      <c r="C15" s="1" t="s">
        <v>1156</v>
      </c>
      <c r="D15" s="1" t="s">
        <v>1157</v>
      </c>
      <c r="E15" s="1" t="s">
        <v>1158</v>
      </c>
      <c r="F15" s="1">
        <v>3.1945647015398002</v>
      </c>
      <c r="G15" s="1" t="s">
        <v>1478</v>
      </c>
      <c r="H15" s="25" t="str">
        <f>LOWER(CONCATENATE(FloatRates[[#This Row],[Value.code]],SUBSTITUTE(SUBSTITUTE(YOURCURRENCY,"http://www.floatrates.com/daily/",""),".json","")))</f>
        <v>iskthb</v>
      </c>
      <c r="I15" s="30">
        <f>1/FloatRates[[#This Row],[Value.rate]]</f>
        <v>0.31303169396381103</v>
      </c>
    </row>
    <row r="16" spans="1:11">
      <c r="A16" s="1" t="s">
        <v>1159</v>
      </c>
      <c r="B16" s="1" t="s">
        <v>1160</v>
      </c>
      <c r="C16" s="1" t="s">
        <v>1160</v>
      </c>
      <c r="D16" s="1" t="s">
        <v>1161</v>
      </c>
      <c r="E16" s="1" t="s">
        <v>1162</v>
      </c>
      <c r="F16" s="1">
        <v>0.10994908768537</v>
      </c>
      <c r="G16" s="1" t="s">
        <v>1478</v>
      </c>
      <c r="H16" s="25" t="str">
        <f>LOWER(CONCATENATE(FloatRates[[#This Row],[Value.code]],SUBSTITUTE(SUBSTITUTE(YOURCURRENCY,"http://www.floatrates.com/daily/",""),".json","")))</f>
        <v>qarthb</v>
      </c>
      <c r="I16" s="30">
        <f>1/FloatRates[[#This Row],[Value.rate]]</f>
        <v>9.0951186685750152</v>
      </c>
    </row>
    <row r="17" spans="1:9">
      <c r="A17" s="1" t="s">
        <v>1163</v>
      </c>
      <c r="B17" s="1" t="s">
        <v>1164</v>
      </c>
      <c r="C17" s="1" t="s">
        <v>1164</v>
      </c>
      <c r="D17" s="1" t="s">
        <v>1165</v>
      </c>
      <c r="E17" s="1" t="s">
        <v>1166</v>
      </c>
      <c r="F17" s="1">
        <v>4.9349449921351998E-2</v>
      </c>
      <c r="G17" s="1" t="s">
        <v>1478</v>
      </c>
      <c r="H17" s="25" t="str">
        <f>LOWER(CONCATENATE(FloatRates[[#This Row],[Value.code]],SUBSTITUTE(SUBSTITUTE(YOURCURRENCY,"http://www.floatrates.com/daily/",""),".json","")))</f>
        <v>bgnthb</v>
      </c>
      <c r="I17" s="30">
        <f>1/FloatRates[[#This Row],[Value.rate]]</f>
        <v>20.26365038705995</v>
      </c>
    </row>
    <row r="18" spans="1:9">
      <c r="A18" s="1" t="s">
        <v>1167</v>
      </c>
      <c r="B18" s="1" t="s">
        <v>1168</v>
      </c>
      <c r="C18" s="1" t="s">
        <v>1168</v>
      </c>
      <c r="D18" s="1" t="s">
        <v>1169</v>
      </c>
      <c r="E18" s="1" t="s">
        <v>1170</v>
      </c>
      <c r="F18" s="1">
        <v>14.442120446539001</v>
      </c>
      <c r="G18" s="1" t="s">
        <v>1478</v>
      </c>
      <c r="H18" s="25" t="str">
        <f>LOWER(CONCATENATE(FloatRates[[#This Row],[Value.code]],SUBSTITUTE(SUBSTITUTE(YOURCURRENCY,"http://www.floatrates.com/daily/",""),".json","")))</f>
        <v>amdthb</v>
      </c>
      <c r="I18" s="30">
        <f>1/FloatRates[[#This Row],[Value.rate]]</f>
        <v>6.9241909711371105E-2</v>
      </c>
    </row>
    <row r="19" spans="1:9">
      <c r="A19" s="1" t="s">
        <v>1171</v>
      </c>
      <c r="B19" s="1" t="s">
        <v>1172</v>
      </c>
      <c r="C19" s="1" t="s">
        <v>1172</v>
      </c>
      <c r="D19" s="1" t="s">
        <v>1173</v>
      </c>
      <c r="E19" s="1" t="s">
        <v>1174</v>
      </c>
      <c r="F19" s="1">
        <v>0.91587590041913003</v>
      </c>
      <c r="G19" s="1" t="s">
        <v>1478</v>
      </c>
      <c r="H19" s="25" t="str">
        <f>LOWER(CONCATENATE(FloatRates[[#This Row],[Value.code]],SUBSTITUTE(SUBSTITUTE(YOURCURRENCY,"http://www.floatrates.com/daily/",""),".json","")))</f>
        <v>niothb</v>
      </c>
      <c r="I19" s="30">
        <f>1/FloatRates[[#This Row],[Value.rate]]</f>
        <v>1.0918509806212529</v>
      </c>
    </row>
    <row r="20" spans="1:9">
      <c r="A20" s="1" t="s">
        <v>1179</v>
      </c>
      <c r="B20" s="1" t="s">
        <v>1180</v>
      </c>
      <c r="C20" s="1" t="s">
        <v>1180</v>
      </c>
      <c r="D20" s="1" t="s">
        <v>1181</v>
      </c>
      <c r="E20" s="1" t="s">
        <v>1182</v>
      </c>
      <c r="F20" s="1">
        <v>0.10656687109637999</v>
      </c>
      <c r="G20" s="1" t="s">
        <v>1478</v>
      </c>
      <c r="H20" s="25" t="str">
        <f>LOWER(CONCATENATE(FloatRates[[#This Row],[Value.code]],SUBSTITUTE(SUBSTITUTE(YOURCURRENCY,"http://www.floatrates.com/daily/",""),".json","")))</f>
        <v>ilsthb</v>
      </c>
      <c r="I20" s="30">
        <f>1/FloatRates[[#This Row],[Value.rate]]</f>
        <v>9.3837793088209498</v>
      </c>
    </row>
    <row r="21" spans="1:9">
      <c r="A21" s="1" t="s">
        <v>1183</v>
      </c>
      <c r="B21" s="1" t="s">
        <v>1184</v>
      </c>
      <c r="C21" s="1" t="s">
        <v>1184</v>
      </c>
      <c r="D21" s="1" t="s">
        <v>1185</v>
      </c>
      <c r="E21" s="1" t="s">
        <v>1186</v>
      </c>
      <c r="F21" s="1">
        <v>4.0641237036450999E-2</v>
      </c>
      <c r="G21" s="1" t="s">
        <v>1478</v>
      </c>
      <c r="H21" s="25" t="str">
        <f>LOWER(CONCATENATE(FloatRates[[#This Row],[Value.code]],SUBSTITUTE(SUBSTITUTE(YOURCURRENCY,"http://www.floatrates.com/daily/",""),".json","")))</f>
        <v>sgdthb</v>
      </c>
      <c r="I21" s="30">
        <f>1/FloatRates[[#This Row],[Value.rate]]</f>
        <v>24.605550246984439</v>
      </c>
    </row>
    <row r="22" spans="1:9">
      <c r="A22" s="1" t="s">
        <v>1187</v>
      </c>
      <c r="B22" s="1" t="s">
        <v>1188</v>
      </c>
      <c r="C22" s="1" t="s">
        <v>1188</v>
      </c>
      <c r="D22" s="1" t="s">
        <v>1189</v>
      </c>
      <c r="E22" s="1" t="s">
        <v>1190</v>
      </c>
      <c r="F22" s="1">
        <v>0.10303754601305</v>
      </c>
      <c r="G22" s="1" t="s">
        <v>1478</v>
      </c>
      <c r="H22" s="25" t="str">
        <f>LOWER(CONCATENATE(FloatRates[[#This Row],[Value.code]],SUBSTITUTE(SUBSTITUTE(YOURCURRENCY,"http://www.floatrates.com/daily/",""),".json","")))</f>
        <v>trythb</v>
      </c>
      <c r="I22" s="30">
        <f>1/FloatRates[[#This Row],[Value.rate]]</f>
        <v>9.7052000818550859</v>
      </c>
    </row>
    <row r="23" spans="1:9">
      <c r="A23" s="1" t="s">
        <v>1191</v>
      </c>
      <c r="B23" s="1" t="s">
        <v>1192</v>
      </c>
      <c r="C23" s="1" t="s">
        <v>1192</v>
      </c>
      <c r="D23" s="1" t="s">
        <v>1193</v>
      </c>
      <c r="E23" s="1" t="s">
        <v>1194</v>
      </c>
      <c r="F23" s="1">
        <v>0.10556914973555</v>
      </c>
      <c r="G23" s="1" t="s">
        <v>1478</v>
      </c>
      <c r="H23" s="25" t="str">
        <f>LOWER(CONCATENATE(FloatRates[[#This Row],[Value.code]],SUBSTITUTE(SUBSTITUTE(YOURCURRENCY,"http://www.floatrates.com/daily/",""),".json","")))</f>
        <v>tmtthb</v>
      </c>
      <c r="I23" s="30">
        <f>1/FloatRates[[#This Row],[Value.rate]]</f>
        <v>9.4724642805686443</v>
      </c>
    </row>
    <row r="24" spans="1:9">
      <c r="A24" s="1" t="s">
        <v>1195</v>
      </c>
      <c r="B24" s="1" t="s">
        <v>1196</v>
      </c>
      <c r="C24" s="1" t="s">
        <v>1196</v>
      </c>
      <c r="D24" s="1" t="s">
        <v>1197</v>
      </c>
      <c r="E24" s="1" t="s">
        <v>1198</v>
      </c>
      <c r="F24" s="1">
        <v>9.1040261066952007E-3</v>
      </c>
      <c r="G24" s="1" t="s">
        <v>1478</v>
      </c>
      <c r="H24" s="25" t="str">
        <f>LOWER(CONCATENATE(FloatRates[[#This Row],[Value.code]],SUBSTITUTE(SUBSTITUTE(YOURCURRENCY,"http://www.floatrates.com/daily/",""),".json","")))</f>
        <v>kwdthb</v>
      </c>
      <c r="I24" s="30">
        <f>1/FloatRates[[#This Row],[Value.rate]]</f>
        <v>109.84151278571017</v>
      </c>
    </row>
    <row r="25" spans="1:9">
      <c r="A25" s="1" t="s">
        <v>1199</v>
      </c>
      <c r="B25" s="1" t="s">
        <v>1200</v>
      </c>
      <c r="C25" s="1" t="s">
        <v>1200</v>
      </c>
      <c r="D25" s="1" t="s">
        <v>1201</v>
      </c>
      <c r="E25" s="1" t="s">
        <v>1202</v>
      </c>
      <c r="F25" s="1">
        <v>0.24028644822690001</v>
      </c>
      <c r="G25" s="1" t="s">
        <v>1478</v>
      </c>
      <c r="H25" s="25" t="str">
        <f>LOWER(CONCATENATE(FloatRates[[#This Row],[Value.code]],SUBSTITUTE(SUBSTITUTE(YOURCURRENCY,"http://www.floatrates.com/daily/",""),".json","")))</f>
        <v>sekthb</v>
      </c>
      <c r="I25" s="30">
        <f>1/FloatRates[[#This Row],[Value.rate]]</f>
        <v>4.1616995356130539</v>
      </c>
    </row>
    <row r="26" spans="1:9">
      <c r="A26" s="1" t="s">
        <v>1203</v>
      </c>
      <c r="B26" s="1" t="s">
        <v>1204</v>
      </c>
      <c r="C26" s="1" t="s">
        <v>1204</v>
      </c>
      <c r="D26" s="1" t="s">
        <v>1205</v>
      </c>
      <c r="E26" s="1" t="s">
        <v>1206</v>
      </c>
      <c r="F26" s="1">
        <v>1.5334802374347001</v>
      </c>
      <c r="G26" s="1" t="s">
        <v>1478</v>
      </c>
      <c r="H26" s="25" t="str">
        <f>LOWER(CONCATENATE(FloatRates[[#This Row],[Value.code]],SUBSTITUTE(SUBSTITUTE(YOURCURRENCY,"http://www.floatrates.com/daily/",""),".json","")))</f>
        <v>phpthb</v>
      </c>
      <c r="I26" s="30">
        <f>1/FloatRates[[#This Row],[Value.rate]]</f>
        <v>0.65211143618835377</v>
      </c>
    </row>
    <row r="27" spans="1:9">
      <c r="A27" s="1" t="s">
        <v>1207</v>
      </c>
      <c r="B27" s="1" t="s">
        <v>1208</v>
      </c>
      <c r="C27" s="1" t="s">
        <v>1208</v>
      </c>
      <c r="D27" s="1" t="s">
        <v>1209</v>
      </c>
      <c r="E27" s="1" t="s">
        <v>1210</v>
      </c>
      <c r="F27" s="1">
        <v>0.78546238973019</v>
      </c>
      <c r="G27" s="1" t="s">
        <v>1478</v>
      </c>
      <c r="H27" s="25" t="str">
        <f>LOWER(CONCATENATE(FloatRates[[#This Row],[Value.code]],SUBSTITUTE(SUBSTITUTE(YOURCURRENCY,"http://www.floatrates.com/daily/",""),".json","")))</f>
        <v>uahthb</v>
      </c>
      <c r="I27" s="30">
        <f>1/FloatRates[[#This Row],[Value.rate]]</f>
        <v>1.2731354334400462</v>
      </c>
    </row>
    <row r="28" spans="1:9">
      <c r="A28" s="1" t="s">
        <v>1227</v>
      </c>
      <c r="B28" s="1" t="s">
        <v>1228</v>
      </c>
      <c r="C28" s="1" t="s">
        <v>1228</v>
      </c>
      <c r="D28" s="1" t="s">
        <v>1229</v>
      </c>
      <c r="E28" s="1" t="s">
        <v>1230</v>
      </c>
      <c r="F28" s="1">
        <v>4.0714388816238997E-2</v>
      </c>
      <c r="G28" s="1" t="s">
        <v>1478</v>
      </c>
      <c r="H28" s="25" t="str">
        <f>LOWER(CONCATENATE(FloatRates[[#This Row],[Value.code]],SUBSTITUTE(SUBSTITUTE(YOURCURRENCY,"http://www.floatrates.com/daily/",""),".json","")))</f>
        <v>bndthb</v>
      </c>
      <c r="I28" s="30">
        <f>1/FloatRates[[#This Row],[Value.rate]]</f>
        <v>24.561341311382979</v>
      </c>
    </row>
    <row r="29" spans="1:9">
      <c r="A29" s="1" t="s">
        <v>1211</v>
      </c>
      <c r="B29" t="s">
        <v>1212</v>
      </c>
      <c r="C29" t="s">
        <v>1212</v>
      </c>
      <c r="D29" t="s">
        <v>1213</v>
      </c>
      <c r="E29" t="s">
        <v>1214</v>
      </c>
      <c r="F29">
        <v>0.99514194324989003</v>
      </c>
      <c r="G29" t="s">
        <v>1478</v>
      </c>
      <c r="H29" s="25" t="str">
        <f>LOWER(CONCATENATE(FloatRates[[#This Row],[Value.code]],SUBSTITUTE(SUBSTITUTE(YOURCURRENCY,"http://www.floatrates.com/daily/",""),".json","")))</f>
        <v>murthb</v>
      </c>
      <c r="I29" s="30">
        <f>1/FloatRates[[#This Row],[Value.rate]]</f>
        <v>1.0048817726788248</v>
      </c>
    </row>
    <row r="30" spans="1:9">
      <c r="A30" s="1" t="s">
        <v>1215</v>
      </c>
      <c r="B30" t="s">
        <v>1216</v>
      </c>
      <c r="C30" t="s">
        <v>1216</v>
      </c>
      <c r="D30" t="s">
        <v>1217</v>
      </c>
      <c r="E30" t="s">
        <v>1218</v>
      </c>
      <c r="F30">
        <v>0.20429386254154999</v>
      </c>
      <c r="G30" t="s">
        <v>1478</v>
      </c>
      <c r="H30" s="25" t="str">
        <f>LOWER(CONCATENATE(FloatRates[[#This Row],[Value.code]],SUBSTITUTE(SUBSTITUTE(YOURCURRENCY,"http://www.floatrates.com/daily/",""),".json","")))</f>
        <v>ttdthb</v>
      </c>
      <c r="I30" s="30">
        <f>1/FloatRates[[#This Row],[Value.rate]]</f>
        <v>4.8949096539628867</v>
      </c>
    </row>
    <row r="31" spans="1:9">
      <c r="A31" s="1" t="s">
        <v>1219</v>
      </c>
      <c r="B31" t="s">
        <v>1220</v>
      </c>
      <c r="C31" t="s">
        <v>1220</v>
      </c>
      <c r="D31" t="s">
        <v>1221</v>
      </c>
      <c r="E31" t="s">
        <v>1222</v>
      </c>
      <c r="F31">
        <v>0.90468991268039001</v>
      </c>
      <c r="G31" t="s">
        <v>1478</v>
      </c>
      <c r="H31" s="25" t="str">
        <f>LOWER(CONCATENATE(FloatRates[[#This Row],[Value.code]],SUBSTITUTE(SUBSTITUTE(YOURCURRENCY,"http://www.floatrates.com/daily/",""),".json","")))</f>
        <v>twdthb</v>
      </c>
      <c r="I31" s="30">
        <f>1/FloatRates[[#This Row],[Value.rate]]</f>
        <v>1.1053511108985707</v>
      </c>
    </row>
    <row r="32" spans="1:9">
      <c r="A32" s="1" t="s">
        <v>1223</v>
      </c>
      <c r="B32" t="s">
        <v>1224</v>
      </c>
      <c r="C32" t="s">
        <v>1224</v>
      </c>
      <c r="D32" t="s">
        <v>1225</v>
      </c>
      <c r="E32" t="s">
        <v>1226</v>
      </c>
      <c r="F32">
        <v>2.1401811265340999E-2</v>
      </c>
      <c r="G32" t="s">
        <v>1478</v>
      </c>
      <c r="H32" s="25" t="str">
        <f>LOWER(CONCATENATE(FloatRates[[#This Row],[Value.code]],SUBSTITUTE(SUBSTITUTE(YOURCURRENCY,"http://www.floatrates.com/daily/",""),".json","")))</f>
        <v>jodthb</v>
      </c>
      <c r="I32" s="30">
        <f>1/FloatRates[[#This Row],[Value.rate]]</f>
        <v>46.725017224100206</v>
      </c>
    </row>
    <row r="33" spans="1:9">
      <c r="A33" s="1" t="s">
        <v>939</v>
      </c>
      <c r="B33" t="s">
        <v>940</v>
      </c>
      <c r="C33" t="s">
        <v>940</v>
      </c>
      <c r="D33" t="s">
        <v>941</v>
      </c>
      <c r="E33" t="s">
        <v>942</v>
      </c>
      <c r="F33">
        <v>88.183566651236006</v>
      </c>
      <c r="G33" t="s">
        <v>1478</v>
      </c>
      <c r="H33" s="25" t="str">
        <f>LOWER(CONCATENATE(FloatRates[[#This Row],[Value.code]],SUBSTITUTE(SUBSTITUTE(YOURCURRENCY,"http://www.floatrates.com/daily/",""),".json","")))</f>
        <v>copthb</v>
      </c>
      <c r="I33" s="30">
        <f>1/FloatRates[[#This Row],[Value.rate]]</f>
        <v>1.1339981336375033E-2</v>
      </c>
    </row>
    <row r="34" spans="1:9">
      <c r="A34" s="1" t="s">
        <v>943</v>
      </c>
      <c r="B34" t="s">
        <v>944</v>
      </c>
      <c r="C34" t="s">
        <v>944</v>
      </c>
      <c r="D34" t="s">
        <v>945</v>
      </c>
      <c r="E34" t="s">
        <v>946</v>
      </c>
      <c r="F34">
        <v>0.23435809722970999</v>
      </c>
      <c r="G34" t="s">
        <v>1478</v>
      </c>
      <c r="H34" s="25" t="str">
        <f>LOWER(CONCATENATE(FloatRates[[#This Row],[Value.code]],SUBSTITUTE(SUBSTITUTE(YOURCURRENCY,"http://www.floatrates.com/daily/",""),".json","")))</f>
        <v>nokthb</v>
      </c>
      <c r="I34" s="30">
        <f>1/FloatRates[[#This Row],[Value.rate]]</f>
        <v>4.2669743944022267</v>
      </c>
    </row>
    <row r="35" spans="1:9">
      <c r="A35" s="1" t="s">
        <v>947</v>
      </c>
      <c r="B35" t="s">
        <v>948</v>
      </c>
      <c r="C35" t="s">
        <v>948</v>
      </c>
      <c r="D35" t="s">
        <v>949</v>
      </c>
      <c r="E35" t="s">
        <v>950</v>
      </c>
      <c r="F35">
        <v>0.30130719397543998</v>
      </c>
      <c r="G35" t="s">
        <v>1478</v>
      </c>
      <c r="H35" s="25" t="str">
        <f>LOWER(CONCATENATE(FloatRates[[#This Row],[Value.code]],SUBSTITUTE(SUBSTITUTE(YOURCURRENCY,"http://www.floatrates.com/daily/",""),".json","")))</f>
        <v>vefthb</v>
      </c>
      <c r="I35" s="30">
        <f>1/FloatRates[[#This Row],[Value.rate]]</f>
        <v>3.3188719685249586</v>
      </c>
    </row>
    <row r="36" spans="1:9">
      <c r="A36" s="1" t="s">
        <v>951</v>
      </c>
      <c r="B36" t="s">
        <v>952</v>
      </c>
      <c r="C36" t="s">
        <v>952</v>
      </c>
      <c r="D36" t="s">
        <v>953</v>
      </c>
      <c r="E36" t="s">
        <v>954</v>
      </c>
      <c r="F36">
        <v>9.2263595696418008</v>
      </c>
      <c r="G36" t="s">
        <v>1478</v>
      </c>
      <c r="H36" s="25" t="str">
        <f>LOWER(CONCATENATE(FloatRates[[#This Row],[Value.code]],SUBSTITUTE(SUBSTITUTE(YOURCURRENCY,"http://www.floatrates.com/daily/",""),".json","")))</f>
        <v>ngnthb</v>
      </c>
      <c r="I36" s="30">
        <f>1/FloatRates[[#This Row],[Value.rate]]</f>
        <v>0.10838511034085174</v>
      </c>
    </row>
    <row r="37" spans="1:9">
      <c r="A37" s="1" t="s">
        <v>955</v>
      </c>
      <c r="B37" t="s">
        <v>956</v>
      </c>
      <c r="C37" t="s">
        <v>956</v>
      </c>
      <c r="D37" t="s">
        <v>957</v>
      </c>
      <c r="E37" t="s">
        <v>958</v>
      </c>
      <c r="F37">
        <v>171.2493736994</v>
      </c>
      <c r="G37" t="s">
        <v>1478</v>
      </c>
      <c r="H37" s="25" t="str">
        <f>LOWER(CONCATENATE(FloatRates[[#This Row],[Value.code]],SUBSTITUTE(SUBSTITUTE(YOURCURRENCY,"http://www.floatrates.com/daily/",""),".json","")))</f>
        <v>pygthb</v>
      </c>
      <c r="I37" s="30">
        <f>1/FloatRates[[#This Row],[Value.rate]]</f>
        <v>5.8394374145585778E-3</v>
      </c>
    </row>
    <row r="38" spans="1:9">
      <c r="A38" s="1" t="s">
        <v>959</v>
      </c>
      <c r="B38" t="s">
        <v>960</v>
      </c>
      <c r="C38" t="s">
        <v>960</v>
      </c>
      <c r="D38" t="s">
        <v>961</v>
      </c>
      <c r="E38" t="s">
        <v>962</v>
      </c>
      <c r="F38">
        <v>7.7264991242340004</v>
      </c>
      <c r="G38" t="s">
        <v>1478</v>
      </c>
      <c r="H38" s="25" t="str">
        <f>LOWER(CONCATENATE(FloatRates[[#This Row],[Value.code]],SUBSTITUTE(SUBSTITUTE(YOURCURRENCY,"http://www.floatrates.com/daily/",""),".json","")))</f>
        <v>hufthb</v>
      </c>
      <c r="I38" s="30">
        <f>1/FloatRates[[#This Row],[Value.rate]]</f>
        <v>0.12942472184634321</v>
      </c>
    </row>
    <row r="39" spans="1:9">
      <c r="A39" s="1" t="s">
        <v>963</v>
      </c>
      <c r="B39" t="s">
        <v>964</v>
      </c>
      <c r="C39" t="s">
        <v>964</v>
      </c>
      <c r="D39" t="s">
        <v>965</v>
      </c>
      <c r="E39" t="s">
        <v>966</v>
      </c>
      <c r="F39">
        <v>0.10723516806767</v>
      </c>
      <c r="G39" t="s">
        <v>1478</v>
      </c>
      <c r="H39" s="25" t="str">
        <f>LOWER(CONCATENATE(FloatRates[[#This Row],[Value.code]],SUBSTITUTE(SUBSTITUTE(YOURCURRENCY,"http://www.floatrates.com/daily/",""),".json","")))</f>
        <v>plnthb</v>
      </c>
      <c r="I39" s="30">
        <f>1/FloatRates[[#This Row],[Value.rate]]</f>
        <v>9.3252989482793271</v>
      </c>
    </row>
    <row r="40" spans="1:9">
      <c r="A40" s="1" t="s">
        <v>967</v>
      </c>
      <c r="B40" t="s">
        <v>968</v>
      </c>
      <c r="C40" t="s">
        <v>968</v>
      </c>
      <c r="D40" t="s">
        <v>969</v>
      </c>
      <c r="E40" t="s">
        <v>970</v>
      </c>
      <c r="F40">
        <v>1.4331591727648001</v>
      </c>
      <c r="G40" t="s">
        <v>1478</v>
      </c>
      <c r="H40" s="25" t="str">
        <f>LOWER(CONCATENATE(FloatRates[[#This Row],[Value.code]],SUBSTITUTE(SUBSTITUTE(YOURCURRENCY,"http://www.floatrates.com/daily/",""),".json","")))</f>
        <v>dopthb</v>
      </c>
      <c r="I40" s="30">
        <f>1/FloatRates[[#This Row],[Value.rate]]</f>
        <v>0.69775920149248694</v>
      </c>
    </row>
    <row r="41" spans="1:9">
      <c r="A41" s="1" t="s">
        <v>971</v>
      </c>
      <c r="B41" t="s">
        <v>972</v>
      </c>
      <c r="C41" t="s">
        <v>972</v>
      </c>
      <c r="D41" t="s">
        <v>973</v>
      </c>
      <c r="E41" t="s">
        <v>974</v>
      </c>
      <c r="F41">
        <v>5.1377074193065003E-2</v>
      </c>
      <c r="G41" t="s">
        <v>1478</v>
      </c>
      <c r="H41" s="25" t="str">
        <f>LOWER(CONCATENATE(FloatRates[[#This Row],[Value.code]],SUBSTITUTE(SUBSTITUTE(YOURCURRENCY,"http://www.floatrates.com/daily/",""),".json","")))</f>
        <v>aznthb</v>
      </c>
      <c r="I41" s="30">
        <f>1/FloatRates[[#This Row],[Value.rate]]</f>
        <v>19.463934365787267</v>
      </c>
    </row>
    <row r="42" spans="1:9">
      <c r="A42" s="1" t="s">
        <v>975</v>
      </c>
      <c r="B42" t="s">
        <v>976</v>
      </c>
      <c r="C42" t="s">
        <v>976</v>
      </c>
      <c r="D42" t="s">
        <v>977</v>
      </c>
      <c r="E42" t="s">
        <v>978</v>
      </c>
      <c r="F42">
        <v>17.474655551577001</v>
      </c>
      <c r="G42" t="s">
        <v>1478</v>
      </c>
      <c r="H42" s="25" t="str">
        <f>LOWER(CONCATENATE(FloatRates[[#This Row],[Value.code]],SUBSTITUTE(SUBSTITUTE(YOURCURRENCY,"http://www.floatrates.com/daily/",""),".json","")))</f>
        <v>crcthb</v>
      </c>
      <c r="I42" s="30">
        <f>1/FloatRates[[#This Row],[Value.rate]]</f>
        <v>5.7225734553019839E-2</v>
      </c>
    </row>
    <row r="43" spans="1:9">
      <c r="A43" s="1" t="s">
        <v>979</v>
      </c>
      <c r="B43" t="s">
        <v>980</v>
      </c>
      <c r="C43" t="s">
        <v>980</v>
      </c>
      <c r="D43" t="s">
        <v>981</v>
      </c>
      <c r="E43" t="s">
        <v>982</v>
      </c>
      <c r="F43">
        <v>402.76535915552</v>
      </c>
      <c r="G43" t="s">
        <v>1478</v>
      </c>
      <c r="H43" s="25" t="str">
        <f>LOWER(CONCATENATE(FloatRates[[#This Row],[Value.code]],SUBSTITUTE(SUBSTITUTE(YOURCURRENCY,"http://www.floatrates.com/daily/",""),".json","")))</f>
        <v>idrthb</v>
      </c>
      <c r="I43" s="30">
        <f>1/FloatRates[[#This Row],[Value.rate]]</f>
        <v>2.4828351725597868E-3</v>
      </c>
    </row>
    <row r="44" spans="1:9">
      <c r="A44" s="1" t="s">
        <v>983</v>
      </c>
      <c r="B44" t="s">
        <v>984</v>
      </c>
      <c r="C44" t="s">
        <v>984</v>
      </c>
      <c r="D44" t="s">
        <v>985</v>
      </c>
      <c r="E44" t="s">
        <v>986</v>
      </c>
      <c r="F44">
        <v>0.11327779187169</v>
      </c>
      <c r="G44" t="s">
        <v>1478</v>
      </c>
      <c r="H44" s="25" t="str">
        <f>LOWER(CONCATENATE(FloatRates[[#This Row],[Value.code]],SUBSTITUTE(SUBSTITUTE(YOURCURRENCY,"http://www.floatrates.com/daily/",""),".json","")))</f>
        <v>sarthb</v>
      </c>
      <c r="I44" s="30">
        <f>1/FloatRates[[#This Row],[Value.rate]]</f>
        <v>8.8278556941920456</v>
      </c>
    </row>
    <row r="45" spans="1:9">
      <c r="A45" s="1" t="s">
        <v>987</v>
      </c>
      <c r="B45" t="s">
        <v>988</v>
      </c>
      <c r="C45" t="s">
        <v>988</v>
      </c>
      <c r="D45" t="s">
        <v>989</v>
      </c>
      <c r="E45" t="s">
        <v>990</v>
      </c>
      <c r="F45">
        <v>0.18753476164881999</v>
      </c>
      <c r="G45" t="s">
        <v>1478</v>
      </c>
      <c r="H45" s="25" t="str">
        <f>LOWER(CONCATENATE(FloatRates[[#This Row],[Value.code]],SUBSTITUTE(SUBSTITUTE(YOURCURRENCY,"http://www.floatrates.com/daily/",""),".json","")))</f>
        <v>hrkthb</v>
      </c>
      <c r="I45" s="30">
        <f>1/FloatRates[[#This Row],[Value.rate]]</f>
        <v>5.3323447408252393</v>
      </c>
    </row>
    <row r="46" spans="1:9">
      <c r="A46" s="1" t="s">
        <v>991</v>
      </c>
      <c r="B46" t="s">
        <v>992</v>
      </c>
      <c r="C46" t="s">
        <v>992</v>
      </c>
      <c r="D46" t="s">
        <v>993</v>
      </c>
      <c r="E46" t="s">
        <v>994</v>
      </c>
      <c r="F46">
        <v>0.53554301143643002</v>
      </c>
      <c r="G46" t="s">
        <v>1478</v>
      </c>
      <c r="H46" s="25" t="str">
        <f>LOWER(CONCATENATE(FloatRates[[#This Row],[Value.code]],SUBSTITUTE(SUBSTITUTE(YOURCURRENCY,"http://www.floatrates.com/daily/",""),".json","")))</f>
        <v>mdlthb</v>
      </c>
      <c r="I46" s="30">
        <f>1/FloatRates[[#This Row],[Value.rate]]</f>
        <v>1.8672636532363787</v>
      </c>
    </row>
    <row r="47" spans="1:9">
      <c r="A47" s="1" t="s">
        <v>1011</v>
      </c>
      <c r="B47" t="s">
        <v>1012</v>
      </c>
      <c r="C47" t="s">
        <v>1012</v>
      </c>
      <c r="D47" t="s">
        <v>1013</v>
      </c>
      <c r="E47" t="s">
        <v>1014</v>
      </c>
      <c r="F47">
        <v>3.3476567238242998</v>
      </c>
      <c r="G47" t="s">
        <v>1478</v>
      </c>
      <c r="H47" s="25" t="str">
        <f>LOWER(CONCATENATE(FloatRates[[#This Row],[Value.code]],SUBSTITUTE(SUBSTITUTE(YOURCURRENCY,"http://www.floatrates.com/daily/",""),".json","")))</f>
        <v>dzdthb</v>
      </c>
      <c r="I47" s="30">
        <f>1/FloatRates[[#This Row],[Value.rate]]</f>
        <v>0.29871641046206759</v>
      </c>
    </row>
    <row r="48" spans="1:9">
      <c r="A48" s="1" t="s">
        <v>995</v>
      </c>
      <c r="B48" t="s">
        <v>996</v>
      </c>
      <c r="C48" t="s">
        <v>996</v>
      </c>
      <c r="D48" t="s">
        <v>997</v>
      </c>
      <c r="E48" t="s">
        <v>998</v>
      </c>
      <c r="F48">
        <v>34.168915587518001</v>
      </c>
      <c r="G48" t="s">
        <v>1478</v>
      </c>
      <c r="H48" s="25" t="str">
        <f>LOWER(CONCATENATE(FloatRates[[#This Row],[Value.code]],SUBSTITUTE(SUBSTITUTE(YOURCURRENCY,"http://www.floatrates.com/daily/",""),".json","")))</f>
        <v>krwthb</v>
      </c>
      <c r="I48" s="30">
        <f>1/FloatRates[[#This Row],[Value.rate]]</f>
        <v>2.9266366310006713E-2</v>
      </c>
    </row>
    <row r="49" spans="1:9">
      <c r="A49" s="1" t="s">
        <v>999</v>
      </c>
      <c r="B49" t="s">
        <v>1000</v>
      </c>
      <c r="C49" t="s">
        <v>1000</v>
      </c>
      <c r="D49" t="s">
        <v>1001</v>
      </c>
      <c r="E49" t="s">
        <v>1002</v>
      </c>
      <c r="F49">
        <v>4.6082169729783997</v>
      </c>
      <c r="G49" t="s">
        <v>1478</v>
      </c>
      <c r="H49" s="25" t="str">
        <f>LOWER(CONCATENATE(FloatRates[[#This Row],[Value.code]],SUBSTITUTE(SUBSTITUTE(YOURCURRENCY,"http://www.floatrates.com/daily/",""),".json","")))</f>
        <v>lkrthb</v>
      </c>
      <c r="I49" s="30">
        <f>1/FloatRates[[#This Row],[Value.rate]]</f>
        <v>0.21700367102152229</v>
      </c>
    </row>
    <row r="50" spans="1:9">
      <c r="A50" s="1" t="s">
        <v>1003</v>
      </c>
      <c r="B50" t="s">
        <v>1004</v>
      </c>
      <c r="C50" t="s">
        <v>1004</v>
      </c>
      <c r="D50" t="s">
        <v>1005</v>
      </c>
      <c r="E50" t="s">
        <v>1006</v>
      </c>
      <c r="F50">
        <v>0.53471497951281999</v>
      </c>
      <c r="G50" t="s">
        <v>1478</v>
      </c>
      <c r="H50" s="25" t="str">
        <f>LOWER(CONCATENATE(FloatRates[[#This Row],[Value.code]],SUBSTITUTE(SUBSTITUTE(YOURCURRENCY,"http://www.floatrates.com/daily/",""),".json","")))</f>
        <v>mxnthb</v>
      </c>
      <c r="I50" s="30">
        <f>1/FloatRates[[#This Row],[Value.rate]]</f>
        <v>1.8701552010214904</v>
      </c>
    </row>
    <row r="51" spans="1:9">
      <c r="A51" s="1" t="s">
        <v>1007</v>
      </c>
      <c r="B51" t="s">
        <v>1008</v>
      </c>
      <c r="C51" t="s">
        <v>1008</v>
      </c>
      <c r="D51" t="s">
        <v>1009</v>
      </c>
      <c r="E51" t="s">
        <v>1010</v>
      </c>
      <c r="F51">
        <v>244.66681456644</v>
      </c>
      <c r="G51" t="s">
        <v>1478</v>
      </c>
      <c r="H51" s="25" t="str">
        <f>LOWER(CONCATENATE(FloatRates[[#This Row],[Value.code]],SUBSTITUTE(SUBSTITUTE(YOURCURRENCY,"http://www.floatrates.com/daily/",""),".json","")))</f>
        <v>uzsthb</v>
      </c>
      <c r="I51" s="30">
        <f>1/FloatRates[[#This Row],[Value.rate]]</f>
        <v>4.0871909898040019E-3</v>
      </c>
    </row>
    <row r="52" spans="1:9">
      <c r="A52" s="1" t="s">
        <v>1027</v>
      </c>
      <c r="B52" t="s">
        <v>1028</v>
      </c>
      <c r="C52" t="s">
        <v>1028</v>
      </c>
      <c r="D52" t="s">
        <v>1029</v>
      </c>
      <c r="E52" t="s">
        <v>1030</v>
      </c>
      <c r="F52">
        <v>0.30205793320156998</v>
      </c>
      <c r="G52" t="s">
        <v>1478</v>
      </c>
      <c r="H52" s="25" t="str">
        <f>LOWER(CONCATENATE(FloatRates[[#This Row],[Value.code]],SUBSTITUTE(SUBSTITUTE(YOURCURRENCY,"http://www.floatrates.com/daily/",""),".json","")))</f>
        <v>bwpthb</v>
      </c>
      <c r="I52" s="30">
        <f>1/FloatRates[[#This Row],[Value.rate]]</f>
        <v>3.310623195361261</v>
      </c>
    </row>
    <row r="53" spans="1:9">
      <c r="A53" s="1" t="s">
        <v>1015</v>
      </c>
      <c r="B53" t="s">
        <v>1016</v>
      </c>
      <c r="C53" t="s">
        <v>1016</v>
      </c>
      <c r="D53" t="s">
        <v>1017</v>
      </c>
      <c r="E53" t="s">
        <v>1018</v>
      </c>
      <c r="F53">
        <v>0.12727609397087</v>
      </c>
      <c r="G53" t="s">
        <v>1478</v>
      </c>
      <c r="H53" s="25" t="str">
        <f>LOWER(CONCATENATE(FloatRates[[#This Row],[Value.code]],SUBSTITUTE(SUBSTITUTE(YOURCURRENCY,"http://www.floatrates.com/daily/",""),".json","")))</f>
        <v>myrthb</v>
      </c>
      <c r="I53" s="30">
        <f>1/FloatRates[[#This Row],[Value.rate]]</f>
        <v>7.8569350205614619</v>
      </c>
    </row>
    <row r="54" spans="1:9">
      <c r="A54" s="1" t="s">
        <v>1019</v>
      </c>
      <c r="B54" t="s">
        <v>1020</v>
      </c>
      <c r="C54" t="s">
        <v>1020</v>
      </c>
      <c r="D54" t="s">
        <v>1021</v>
      </c>
      <c r="E54" t="s">
        <v>1022</v>
      </c>
      <c r="F54">
        <v>16.569846127571001</v>
      </c>
      <c r="G54" t="s">
        <v>1478</v>
      </c>
      <c r="H54" s="25" t="str">
        <f>LOWER(CONCATENATE(FloatRates[[#This Row],[Value.code]],SUBSTITUTE(SUBSTITUTE(YOURCURRENCY,"http://www.floatrates.com/daily/",""),".json","")))</f>
        <v>xofthb</v>
      </c>
      <c r="I54" s="30">
        <f>1/FloatRates[[#This Row],[Value.rate]]</f>
        <v>6.035059060301555E-2</v>
      </c>
    </row>
    <row r="55" spans="1:9">
      <c r="A55" s="1" t="s">
        <v>1023</v>
      </c>
      <c r="B55" t="s">
        <v>1024</v>
      </c>
      <c r="C55" t="s">
        <v>1024</v>
      </c>
      <c r="D55" t="s">
        <v>1025</v>
      </c>
      <c r="E55" t="s">
        <v>1026</v>
      </c>
      <c r="F55">
        <v>3.0112429958984999</v>
      </c>
      <c r="G55" t="s">
        <v>1478</v>
      </c>
      <c r="H55" s="25" t="str">
        <f>LOWER(CONCATENATE(FloatRates[[#This Row],[Value.code]],SUBSTITUTE(SUBSTITUTE(YOURCURRENCY,"http://www.floatrates.com/daily/",""),".json","")))</f>
        <v>rsdthb</v>
      </c>
      <c r="I55" s="30">
        <f>1/FloatRates[[#This Row],[Value.rate]]</f>
        <v>0.33208877575209378</v>
      </c>
    </row>
    <row r="56" spans="1:9">
      <c r="A56" s="1" t="s">
        <v>1031</v>
      </c>
      <c r="B56" t="s">
        <v>1032</v>
      </c>
      <c r="C56" t="s">
        <v>1032</v>
      </c>
      <c r="D56" t="s">
        <v>1033</v>
      </c>
      <c r="E56" t="s">
        <v>1034</v>
      </c>
      <c r="F56">
        <v>18.773102809177999</v>
      </c>
      <c r="G56" t="s">
        <v>1478</v>
      </c>
      <c r="H56" s="25" t="str">
        <f>LOWER(CONCATENATE(FloatRates[[#This Row],[Value.code]],SUBSTITUTE(SUBSTITUTE(YOURCURRENCY,"http://www.floatrates.com/daily/",""),".json","")))</f>
        <v>clpthb</v>
      </c>
      <c r="I56" s="30">
        <f>1/FloatRates[[#This Row],[Value.rate]]</f>
        <v>5.3267699546774391E-2</v>
      </c>
    </row>
    <row r="57" spans="1:9">
      <c r="A57" s="1" t="s">
        <v>1035</v>
      </c>
      <c r="B57" t="s">
        <v>1036</v>
      </c>
      <c r="C57" t="s">
        <v>1036</v>
      </c>
      <c r="D57" t="s">
        <v>1037</v>
      </c>
      <c r="E57" t="s">
        <v>1038</v>
      </c>
      <c r="F57">
        <v>4.1862506939116001E-2</v>
      </c>
      <c r="G57" t="s">
        <v>1478</v>
      </c>
      <c r="H57" s="25" t="str">
        <f>LOWER(CONCATENATE(FloatRates[[#This Row],[Value.code]],SUBSTITUTE(SUBSTITUTE(YOURCURRENCY,"http://www.floatrates.com/daily/",""),".json","")))</f>
        <v>nzdthb</v>
      </c>
      <c r="I57" s="30">
        <f>1/FloatRates[[#This Row],[Value.rate]]</f>
        <v>23.887723720282214</v>
      </c>
    </row>
    <row r="58" spans="1:9">
      <c r="A58" s="1" t="s">
        <v>1039</v>
      </c>
      <c r="B58" t="s">
        <v>1040</v>
      </c>
      <c r="C58" t="s">
        <v>1040</v>
      </c>
      <c r="D58" t="s">
        <v>1041</v>
      </c>
      <c r="E58" t="s">
        <v>1042</v>
      </c>
      <c r="F58">
        <v>0.11093089948917</v>
      </c>
      <c r="G58" t="s">
        <v>1478</v>
      </c>
      <c r="H58" s="25" t="str">
        <f>LOWER(CONCATENATE(FloatRates[[#This Row],[Value.code]],SUBSTITUTE(SUBSTITUTE(YOURCURRENCY,"http://www.floatrates.com/daily/",""),".json","")))</f>
        <v>aedthb</v>
      </c>
      <c r="I58" s="30">
        <f>1/FloatRates[[#This Row],[Value.rate]]</f>
        <v>9.0146208550091895</v>
      </c>
    </row>
    <row r="59" spans="1:9">
      <c r="A59" s="1" t="s">
        <v>1043</v>
      </c>
      <c r="B59" t="s">
        <v>1044</v>
      </c>
      <c r="C59" t="s">
        <v>1044</v>
      </c>
      <c r="D59" t="s">
        <v>1045</v>
      </c>
      <c r="E59" t="s">
        <v>1046</v>
      </c>
      <c r="F59">
        <v>9.6657782629173003E-2</v>
      </c>
      <c r="G59" t="s">
        <v>1478</v>
      </c>
      <c r="H59" s="25" t="str">
        <f>LOWER(CONCATENATE(FloatRates[[#This Row],[Value.code]],SUBSTITUTE(SUBSTITUTE(YOURCURRENCY,"http://www.floatrates.com/daily/",""),".json","")))</f>
        <v>pgkthb</v>
      </c>
      <c r="I59" s="30">
        <f>1/FloatRates[[#This Row],[Value.rate]]</f>
        <v>10.345778402929994</v>
      </c>
    </row>
    <row r="60" spans="1:9">
      <c r="A60" s="1" t="s">
        <v>1047</v>
      </c>
      <c r="B60" t="s">
        <v>1048</v>
      </c>
      <c r="C60" t="s">
        <v>1048</v>
      </c>
      <c r="D60" t="s">
        <v>1049</v>
      </c>
      <c r="E60" t="s">
        <v>1050</v>
      </c>
      <c r="F60">
        <v>0.51979666409861003</v>
      </c>
      <c r="G60" t="s">
        <v>1478</v>
      </c>
      <c r="H60" s="25" t="str">
        <f>LOWER(CONCATENATE(FloatRates[[#This Row],[Value.code]],SUBSTITUTE(SUBSTITUTE(YOURCURRENCY,"http://www.floatrates.com/daily/",""),".json","")))</f>
        <v>arsthb</v>
      </c>
      <c r="I60" s="30">
        <f>1/FloatRates[[#This Row],[Value.rate]]</f>
        <v>1.9238291991237002</v>
      </c>
    </row>
    <row r="61" spans="1:9">
      <c r="A61" s="1" t="s">
        <v>1051</v>
      </c>
      <c r="B61" t="s">
        <v>1052</v>
      </c>
      <c r="C61" t="s">
        <v>1052</v>
      </c>
      <c r="D61" t="s">
        <v>1053</v>
      </c>
      <c r="E61" t="s">
        <v>1054</v>
      </c>
      <c r="F61">
        <v>0.18771812517955</v>
      </c>
      <c r="G61" t="s">
        <v>1478</v>
      </c>
      <c r="H61" s="25" t="str">
        <f>LOWER(CONCATENATE(FloatRates[[#This Row],[Value.code]],SUBSTITUTE(SUBSTITUTE(YOURCURRENCY,"http://www.floatrates.com/daily/",""),".json","")))</f>
        <v>dkkthb</v>
      </c>
      <c r="I61" s="30">
        <f>1/FloatRates[[#This Row],[Value.rate]]</f>
        <v>5.3271360932435945</v>
      </c>
    </row>
    <row r="62" spans="1:9">
      <c r="A62" s="1" t="s">
        <v>1055</v>
      </c>
      <c r="B62" t="s">
        <v>1056</v>
      </c>
      <c r="C62" t="s">
        <v>1056</v>
      </c>
      <c r="D62" t="s">
        <v>1057</v>
      </c>
      <c r="E62" t="s">
        <v>1058</v>
      </c>
      <c r="F62">
        <v>3.1839533833612998</v>
      </c>
      <c r="G62" t="s">
        <v>1478</v>
      </c>
      <c r="H62" s="25" t="str">
        <f>LOWER(CONCATENATE(FloatRates[[#This Row],[Value.code]],SUBSTITUTE(SUBSTITUTE(YOURCURRENCY,"http://www.floatrates.com/daily/",""),".json","")))</f>
        <v>pkrthb</v>
      </c>
      <c r="I62" s="30">
        <f>1/FloatRates[[#This Row],[Value.rate]]</f>
        <v>0.31407495010002312</v>
      </c>
    </row>
    <row r="63" spans="1:9">
      <c r="A63" s="1" t="s">
        <v>1059</v>
      </c>
      <c r="B63" t="s">
        <v>1060</v>
      </c>
      <c r="C63" t="s">
        <v>1060</v>
      </c>
      <c r="D63" t="s">
        <v>1061</v>
      </c>
      <c r="E63" t="s">
        <v>1062</v>
      </c>
      <c r="F63">
        <v>9.3615010427683998E-2</v>
      </c>
      <c r="G63" t="s">
        <v>1478</v>
      </c>
      <c r="H63" s="25" t="str">
        <f>LOWER(CONCATENATE(FloatRates[[#This Row],[Value.code]],SUBSTITUTE(SUBSTITUTE(YOURCURRENCY,"http://www.floatrates.com/daily/",""),".json","")))</f>
        <v>brlthb</v>
      </c>
      <c r="I63" s="30">
        <f>1/FloatRates[[#This Row],[Value.rate]]</f>
        <v>10.682047627100175</v>
      </c>
    </row>
    <row r="64" spans="1:9">
      <c r="A64" s="1" t="s">
        <v>1063</v>
      </c>
      <c r="B64" t="s">
        <v>1064</v>
      </c>
      <c r="C64" t="s">
        <v>1064</v>
      </c>
      <c r="D64" t="s">
        <v>1065</v>
      </c>
      <c r="E64" t="s">
        <v>1066</v>
      </c>
      <c r="F64">
        <v>5.8093523940968998E-2</v>
      </c>
      <c r="G64" t="s">
        <v>1478</v>
      </c>
      <c r="H64" s="25" t="str">
        <f>LOWER(CONCATENATE(FloatRates[[#This Row],[Value.code]],SUBSTITUTE(SUBSTITUTE(YOURCURRENCY,"http://www.floatrates.com/daily/",""),".json","")))</f>
        <v>bynthb</v>
      </c>
      <c r="I64" s="30">
        <f>1/FloatRates[[#This Row],[Value.rate]]</f>
        <v>17.213622658114826</v>
      </c>
    </row>
    <row r="65" spans="1:9">
      <c r="A65" s="1" t="s">
        <v>1067</v>
      </c>
      <c r="B65" t="s">
        <v>1068</v>
      </c>
      <c r="C65" t="s">
        <v>1068</v>
      </c>
      <c r="D65" t="s">
        <v>1069</v>
      </c>
      <c r="E65" t="s">
        <v>1070</v>
      </c>
      <c r="F65">
        <v>0.20721174217627</v>
      </c>
      <c r="G65" t="s">
        <v>1478</v>
      </c>
      <c r="H65" s="25" t="str">
        <f>LOWER(CONCATENATE(FloatRates[[#This Row],[Value.code]],SUBSTITUTE(SUBSTITUTE(YOURCURRENCY,"http://www.floatrates.com/daily/",""),".json","")))</f>
        <v>bobthb</v>
      </c>
      <c r="I65" s="30">
        <f>1/FloatRates[[#This Row],[Value.rate]]</f>
        <v>4.8259813343460252</v>
      </c>
    </row>
    <row r="66" spans="1:9">
      <c r="A66" s="1" t="s">
        <v>1071</v>
      </c>
      <c r="B66" t="s">
        <v>1072</v>
      </c>
      <c r="C66" t="s">
        <v>1072</v>
      </c>
      <c r="D66" t="s">
        <v>1073</v>
      </c>
      <c r="E66" t="s">
        <v>1074</v>
      </c>
      <c r="F66">
        <v>1.9337435379693</v>
      </c>
      <c r="G66" t="s">
        <v>1478</v>
      </c>
      <c r="H66" s="25" t="str">
        <f>LOWER(CONCATENATE(FloatRates[[#This Row],[Value.code]],SUBSTITUTE(SUBSTITUTE(YOURCURRENCY,"http://www.floatrates.com/daily/",""),".json","")))</f>
        <v>inrthb</v>
      </c>
      <c r="I66" s="30">
        <f>1/FloatRates[[#This Row],[Value.rate]]</f>
        <v>0.51713165699839347</v>
      </c>
    </row>
    <row r="67" spans="1:9">
      <c r="A67" s="1" t="s">
        <v>1075</v>
      </c>
      <c r="B67" t="s">
        <v>1076</v>
      </c>
      <c r="C67" t="s">
        <v>1076</v>
      </c>
      <c r="D67" t="s">
        <v>1077</v>
      </c>
      <c r="E67" t="s">
        <v>1078</v>
      </c>
      <c r="F67">
        <v>1.7238507896735999</v>
      </c>
      <c r="G67" t="s">
        <v>1478</v>
      </c>
      <c r="H67" s="25" t="str">
        <f>LOWER(CONCATENATE(FloatRates[[#This Row],[Value.code]],SUBSTITUTE(SUBSTITUTE(YOURCURRENCY,"http://www.floatrates.com/daily/",""),".json","")))</f>
        <v>rubthb</v>
      </c>
      <c r="I67" s="30">
        <f>1/FloatRates[[#This Row],[Value.rate]]</f>
        <v>0.58009661044349647</v>
      </c>
    </row>
    <row r="68" spans="1:9">
      <c r="A68" s="1" t="s">
        <v>1079</v>
      </c>
      <c r="B68" t="s">
        <v>1080</v>
      </c>
      <c r="C68" t="s">
        <v>1080</v>
      </c>
      <c r="D68" t="s">
        <v>1081</v>
      </c>
      <c r="E68" t="s">
        <v>1082</v>
      </c>
      <c r="F68">
        <v>0.11601713681294</v>
      </c>
      <c r="G68" t="s">
        <v>1478</v>
      </c>
      <c r="H68" s="25" t="str">
        <f>LOWER(CONCATENATE(FloatRates[[#This Row],[Value.code]],SUBSTITUTE(SUBSTITUTE(YOURCURRENCY,"http://www.floatrates.com/daily/",""),".json","")))</f>
        <v>ronthb</v>
      </c>
      <c r="I68" s="30">
        <f>1/FloatRates[[#This Row],[Value.rate]]</f>
        <v>8.6194162989244258</v>
      </c>
    </row>
    <row r="69" spans="1:9">
      <c r="A69" s="1" t="s">
        <v>1083</v>
      </c>
      <c r="B69" t="s">
        <v>1084</v>
      </c>
      <c r="C69" t="s">
        <v>1084</v>
      </c>
      <c r="D69" t="s">
        <v>1085</v>
      </c>
      <c r="E69" t="s">
        <v>1086</v>
      </c>
      <c r="F69">
        <v>2.0826904918435001</v>
      </c>
      <c r="G69" t="s">
        <v>1478</v>
      </c>
      <c r="H69" s="25" t="str">
        <f>LOWER(CONCATENATE(FloatRates[[#This Row],[Value.code]],SUBSTITUTE(SUBSTITUTE(YOURCURRENCY,"http://www.floatrates.com/daily/",""),".json","")))</f>
        <v>kgsthb</v>
      </c>
      <c r="I69" s="30">
        <f>1/FloatRates[[#This Row],[Value.rate]]</f>
        <v>0.48014815639497488</v>
      </c>
    </row>
    <row r="70" spans="1:9">
      <c r="A70" s="1" t="s">
        <v>1087</v>
      </c>
      <c r="B70" t="s">
        <v>1088</v>
      </c>
      <c r="C70" t="s">
        <v>1088</v>
      </c>
      <c r="D70" t="s">
        <v>1089</v>
      </c>
      <c r="E70" t="s">
        <v>1090</v>
      </c>
      <c r="F70">
        <v>10.168839003784001</v>
      </c>
      <c r="G70" t="s">
        <v>1478</v>
      </c>
      <c r="H70" s="25" t="str">
        <f>LOWER(CONCATENATE(FloatRates[[#This Row],[Value.code]],SUBSTITUTE(SUBSTITUTE(YOURCURRENCY,"http://www.floatrates.com/daily/",""),".json","")))</f>
        <v>kztthb</v>
      </c>
      <c r="I70" s="30">
        <f>1/FloatRates[[#This Row],[Value.rate]]</f>
        <v>9.8339643259951579E-2</v>
      </c>
    </row>
    <row r="71" spans="1:9">
      <c r="A71" s="1" t="s">
        <v>1091</v>
      </c>
      <c r="B71" t="s">
        <v>1092</v>
      </c>
      <c r="C71" t="s">
        <v>1092</v>
      </c>
      <c r="D71" t="s">
        <v>1093</v>
      </c>
      <c r="E71" t="s">
        <v>1094</v>
      </c>
      <c r="F71">
        <v>0.38722081770764999</v>
      </c>
      <c r="G71" t="s">
        <v>1478</v>
      </c>
      <c r="H71" s="25" t="str">
        <f>LOWER(CONCATENATE(FloatRates[[#This Row],[Value.code]],SUBSTITUTE(SUBSTITUTE(YOURCURRENCY,"http://www.floatrates.com/daily/",""),".json","")))</f>
        <v>zarthb</v>
      </c>
      <c r="I71" s="30">
        <f>1/FloatRates[[#This Row],[Value.rate]]</f>
        <v>2.5825057803451972</v>
      </c>
    </row>
    <row r="72" spans="1:9">
      <c r="A72" s="1" t="s">
        <v>1095</v>
      </c>
      <c r="B72" t="s">
        <v>1096</v>
      </c>
      <c r="C72" t="s">
        <v>1096</v>
      </c>
      <c r="D72" t="s">
        <v>1097</v>
      </c>
      <c r="E72" t="s">
        <v>1098</v>
      </c>
      <c r="F72">
        <v>0.23605555059961</v>
      </c>
      <c r="G72" t="s">
        <v>1478</v>
      </c>
      <c r="H72" s="25" t="str">
        <f>LOWER(CONCATENATE(FloatRates[[#This Row],[Value.code]],SUBSTITUTE(SUBSTITUTE(YOURCURRENCY,"http://www.floatrates.com/daily/",""),".json","")))</f>
        <v>hkdthb</v>
      </c>
      <c r="I72" s="30">
        <f>1/FloatRates[[#This Row],[Value.rate]]</f>
        <v>4.2362909809147782</v>
      </c>
    </row>
    <row r="73" spans="1:9">
      <c r="A73" s="1" t="s">
        <v>1099</v>
      </c>
      <c r="B73" t="s">
        <v>1100</v>
      </c>
      <c r="C73" t="s">
        <v>1100</v>
      </c>
      <c r="D73" t="s">
        <v>1101</v>
      </c>
      <c r="E73" t="s">
        <v>1102</v>
      </c>
      <c r="F73">
        <v>0.26626396606837999</v>
      </c>
      <c r="G73" t="s">
        <v>1478</v>
      </c>
      <c r="H73" s="25" t="str">
        <f>LOWER(CONCATENATE(FloatRates[[#This Row],[Value.code]],SUBSTITUTE(SUBSTITUTE(YOURCURRENCY,"http://www.floatrates.com/daily/",""),".json","")))</f>
        <v>tjsthb</v>
      </c>
      <c r="I73" s="30">
        <f>1/FloatRates[[#This Row],[Value.rate]]</f>
        <v>3.7556715419133631</v>
      </c>
    </row>
    <row r="74" spans="1:9">
      <c r="A74" s="1" t="s">
        <v>1115</v>
      </c>
      <c r="B74" t="s">
        <v>1116</v>
      </c>
      <c r="C74" t="s">
        <v>1116</v>
      </c>
      <c r="D74" t="s">
        <v>1117</v>
      </c>
      <c r="E74" t="s">
        <v>1118</v>
      </c>
      <c r="F74">
        <v>1.1357378288379001E-2</v>
      </c>
      <c r="G74" t="s">
        <v>1478</v>
      </c>
      <c r="H74" s="25" t="str">
        <f>LOWER(CONCATENATE(FloatRates[[#This Row],[Value.code]],SUBSTITUTE(SUBSTITUTE(YOURCURRENCY,"http://www.floatrates.com/daily/",""),".json","")))</f>
        <v>bhdthb</v>
      </c>
      <c r="I74" s="30">
        <f>1/FloatRates[[#This Row],[Value.rate]]</f>
        <v>88.048489238331655</v>
      </c>
    </row>
    <row r="75" spans="1:9">
      <c r="A75" s="1" t="s">
        <v>1103</v>
      </c>
      <c r="B75" t="s">
        <v>1104</v>
      </c>
      <c r="C75" t="s">
        <v>1104</v>
      </c>
      <c r="D75" t="s">
        <v>1105</v>
      </c>
      <c r="E75" t="s">
        <v>1106</v>
      </c>
      <c r="F75">
        <v>2.1207465646392001E-2</v>
      </c>
      <c r="G75" t="s">
        <v>1478</v>
      </c>
      <c r="H75" s="25" t="str">
        <f>LOWER(CONCATENATE(FloatRates[[#This Row],[Value.code]],SUBSTITUTE(SUBSTITUTE(YOURCURRENCY,"http://www.floatrates.com/daily/",""),".json","")))</f>
        <v>lydthb</v>
      </c>
      <c r="I75" s="30">
        <f>1/FloatRates[[#This Row],[Value.rate]]</f>
        <v>47.153206171531806</v>
      </c>
    </row>
    <row r="76" spans="1:9">
      <c r="A76" s="1" t="s">
        <v>1107</v>
      </c>
      <c r="B76" t="s">
        <v>1108</v>
      </c>
      <c r="C76" t="s">
        <v>1108</v>
      </c>
      <c r="D76" t="s">
        <v>1109</v>
      </c>
      <c r="E76" t="s">
        <v>1110</v>
      </c>
      <c r="F76">
        <v>16.569846127571001</v>
      </c>
      <c r="G76" t="s">
        <v>1478</v>
      </c>
      <c r="H76" s="25" t="str">
        <f>LOWER(CONCATENATE(FloatRates[[#This Row],[Value.code]],SUBSTITUTE(SUBSTITUTE(YOURCURRENCY,"http://www.floatrates.com/daily/",""),".json","")))</f>
        <v>xafthb</v>
      </c>
      <c r="I76" s="30">
        <f>1/FloatRates[[#This Row],[Value.rate]]</f>
        <v>6.035059060301555E-2</v>
      </c>
    </row>
    <row r="77" spans="1:9">
      <c r="A77" s="1" t="s">
        <v>1111</v>
      </c>
      <c r="B77" t="s">
        <v>1112</v>
      </c>
      <c r="C77" t="s">
        <v>1112</v>
      </c>
      <c r="D77" t="s">
        <v>1113</v>
      </c>
      <c r="E77" t="s">
        <v>1114</v>
      </c>
      <c r="F77">
        <v>0.53186566629498999</v>
      </c>
      <c r="G77" t="s">
        <v>1478</v>
      </c>
      <c r="H77" s="25" t="str">
        <f>LOWER(CONCATENATE(FloatRates[[#This Row],[Value.code]],SUBSTITUTE(SUBSTITUTE(YOURCURRENCY,"http://www.floatrates.com/daily/",""),".json","")))</f>
        <v>egpthb</v>
      </c>
      <c r="I77" s="30">
        <f>1/FloatRates[[#This Row],[Value.rate]]</f>
        <v>1.8801740051507057</v>
      </c>
    </row>
    <row r="78" spans="1:9">
      <c r="A78" s="1" t="s">
        <v>1119</v>
      </c>
      <c r="B78" t="s">
        <v>1120</v>
      </c>
      <c r="C78" t="s">
        <v>1120</v>
      </c>
      <c r="D78" t="s">
        <v>1121</v>
      </c>
      <c r="E78" t="s">
        <v>1122</v>
      </c>
      <c r="F78">
        <v>3.0979061629153</v>
      </c>
      <c r="G78" t="s">
        <v>1478</v>
      </c>
      <c r="H78" s="25" t="str">
        <f>LOWER(CONCATENATE(FloatRates[[#This Row],[Value.code]],SUBSTITUTE(SUBSTITUTE(YOURCURRENCY,"http://www.floatrates.com/daily/",""),".json","")))</f>
        <v>nprthb</v>
      </c>
      <c r="I78" s="30">
        <f>1/FloatRates[[#This Row],[Value.rate]]</f>
        <v>0.32279867349466296</v>
      </c>
    </row>
    <row r="79" spans="1:9">
      <c r="A79" s="1" t="s">
        <v>1123</v>
      </c>
      <c r="B79" t="s">
        <v>1124</v>
      </c>
      <c r="C79" t="s">
        <v>1124</v>
      </c>
      <c r="D79" t="s">
        <v>1125</v>
      </c>
      <c r="E79" t="s">
        <v>1126</v>
      </c>
      <c r="F79">
        <v>7.3604873046691E-2</v>
      </c>
      <c r="G79" t="s">
        <v>1478</v>
      </c>
      <c r="H79" s="25" t="str">
        <f>LOWER(CONCATENATE(FloatRates[[#This Row],[Value.code]],SUBSTITUTE(SUBSTITUTE(YOURCURRENCY,"http://www.floatrates.com/daily/",""),".json","")))</f>
        <v>tndthb</v>
      </c>
      <c r="I79" s="30">
        <f>1/FloatRates[[#This Row],[Value.rate]]</f>
        <v>13.58605699062416</v>
      </c>
    </row>
    <row r="80" spans="1:9">
      <c r="A80" s="1" t="s">
        <v>1127</v>
      </c>
      <c r="B80" t="s">
        <v>1128</v>
      </c>
      <c r="C80" t="s">
        <v>1128</v>
      </c>
      <c r="D80" t="s">
        <v>1129</v>
      </c>
      <c r="E80" t="s">
        <v>1130</v>
      </c>
      <c r="F80">
        <v>691.81046857808997</v>
      </c>
      <c r="G80" t="s">
        <v>1478</v>
      </c>
      <c r="H80" s="25" t="str">
        <f>LOWER(CONCATENATE(FloatRates[[#This Row],[Value.code]],SUBSTITUTE(SUBSTITUTE(YOURCURRENCY,"http://www.floatrates.com/daily/",""),".json","")))</f>
        <v>vndthb</v>
      </c>
      <c r="I80" s="30">
        <f>1/FloatRates[[#This Row],[Value.rate]]</f>
        <v>1.4454826074767938E-3</v>
      </c>
    </row>
    <row r="81" spans="1:9">
      <c r="A81" s="1" t="s">
        <v>1131</v>
      </c>
      <c r="B81" t="s">
        <v>1132</v>
      </c>
      <c r="C81" t="s">
        <v>1132</v>
      </c>
      <c r="D81" t="s">
        <v>1133</v>
      </c>
      <c r="E81" t="s">
        <v>1134</v>
      </c>
      <c r="F81">
        <v>45.541042236544001</v>
      </c>
      <c r="G81" t="s">
        <v>1478</v>
      </c>
      <c r="H81" s="25" t="str">
        <f>LOWER(CONCATENATE(FloatRates[[#This Row],[Value.code]],SUBSTITUTE(SUBSTITUTE(YOURCURRENCY,"http://www.floatrates.com/daily/",""),".json","")))</f>
        <v>lbpthb</v>
      </c>
      <c r="I81" s="30">
        <f>1/FloatRates[[#This Row],[Value.rate]]</f>
        <v>2.1958215071273861E-2</v>
      </c>
    </row>
  </sheetData>
  <hyperlinks>
    <hyperlink ref="K6" r:id="rId1"/>
    <hyperlink ref="K2" r:id="rId2"/>
  </hyperlinks>
  <pageMargins left="0.7" right="0.7" top="0.75" bottom="0.75" header="0.3" footer="0.3"/>
  <pageSetup paperSize="9" orientation="portrait" verticalDpi="0" r:id="rId3"/>
  <drawing r:id="rId4"/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7EA539-A438-4F80-B8B0-F27B88694D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Disclaimer</vt:lpstr>
      <vt:lpstr>Example</vt:lpstr>
      <vt:lpstr>REF-CryptoWat</vt:lpstr>
      <vt:lpstr>REF-BX.in.th</vt:lpstr>
      <vt:lpstr>REF-Bittrex</vt:lpstr>
      <vt:lpstr>Bitfinex</vt:lpstr>
      <vt:lpstr>Poloniex</vt:lpstr>
      <vt:lpstr>Bittrex</vt:lpstr>
      <vt:lpstr>Bx</vt:lpstr>
      <vt:lpstr>FloatRates.com</vt:lpstr>
      <vt:lpstr>BITFINEX</vt:lpstr>
      <vt:lpstr>EURTHB</vt:lpstr>
      <vt:lpstr>POLONIEX</vt:lpstr>
      <vt:lpstr>USDTHB</vt:lpstr>
      <vt:lpstr>YOURCURRENCY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วรภพ โล่ห์วงศ์วัฒน</dc:creator>
  <cp:lastModifiedBy>วรภพ โล่ห์วงศ์วัฒน</cp:lastModifiedBy>
  <dcterms:created xsi:type="dcterms:W3CDTF">2017-08-15T18:13:53Z</dcterms:created>
  <dcterms:modified xsi:type="dcterms:W3CDTF">2017-09-08T05:08:56Z</dcterms:modified>
</cp:coreProperties>
</file>
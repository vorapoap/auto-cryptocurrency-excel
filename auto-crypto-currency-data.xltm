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00CF4601-37BD-836D-55AB-7E336CB4BC7A}"/>
  <workbookPr codeName="ThisWorkbook" refreshAllConnections="1" defaultThemeVersion="166925"/>
  <mc:AlternateContent xmlns:mc="http://schemas.openxmlformats.org/markup-compatibility/2006">
    <mc:Choice Requires="x15">
      <x15ac:absPath xmlns:x15ac="http://schemas.microsoft.com/office/spreadsheetml/2010/11/ac" url="D:\Data\Documents\"/>
    </mc:Choice>
  </mc:AlternateContent>
  <bookViews>
    <workbookView xWindow="0" yWindow="0" windowWidth="23040" windowHeight="9192" tabRatio="760"/>
  </bookViews>
  <sheets>
    <sheet name="Disclaimer" sheetId="15" r:id="rId1"/>
    <sheet name="Example" sheetId="16" r:id="rId2"/>
    <sheet name="REF-Cryptowat.ch" sheetId="11" r:id="rId3"/>
    <sheet name="REF-BX.in.th" sheetId="12" r:id="rId4"/>
    <sheet name="REF-Bittrex" sheetId="19" r:id="rId5"/>
    <sheet name="Bitfinex" sheetId="20" r:id="rId6"/>
    <sheet name="Poloniex" sheetId="21" r:id="rId7"/>
    <sheet name="Bittrex" sheetId="22" r:id="rId8"/>
    <sheet name="Bx" sheetId="23" r:id="rId9"/>
    <sheet name="FloatRates.com" sheetId="14" r:id="rId10"/>
    <sheet name="Sheet9" sheetId="24" r:id="rId11"/>
  </sheets>
  <definedNames>
    <definedName name="BITFINEX">'REF-Cryptowat.ch'!$F:$G</definedName>
    <definedName name="BITFINEX_PAIRS">OFFSET('REF-Cryptowat.ch'!$F$1,5,0,COUNTA('REF-Cryptowat.ch'!$F:$F)-2,1)</definedName>
    <definedName name="BITTREX_PAIRS">OFFSET('REF-Bittrex'!$O$1,1,0,COUNTA('REF-Bittrex'!$O:$O)-1,1)</definedName>
    <definedName name="BX_PAIRS">OFFSET('REF-BX.in.th'!$H$1,1,0,COUNTA('REF-BX.in.th'!$H:$I)-2,1)</definedName>
    <definedName name="EURTHB">FloatRates.com!$I$3</definedName>
    <definedName name="ExternalData_1" localSheetId="0" hidden="1">Disclaimer!$L$18:$M$20</definedName>
    <definedName name="ExternalData_1" localSheetId="9" hidden="1">FloatRates.com!$A$1:$G$81</definedName>
    <definedName name="ExternalData_1" localSheetId="4" hidden="1">'REF-Bittrex'!$A$1:$M$260</definedName>
    <definedName name="ExternalData_1" localSheetId="3" hidden="1">'REF-BX.in.th'!$A$1:$F$21</definedName>
    <definedName name="ExternalData_1" localSheetId="2" hidden="1">'REF-Cryptowat.ch'!$A$1:$B$240</definedName>
    <definedName name="POLONIEX">'REF-Cryptowat.ch'!$I$5:$J$46</definedName>
    <definedName name="POLONIEX_PAIRS">OFFSET('REF-Cryptowat.ch'!$I$1,5,0,COUNTA('REF-Cryptowat.ch'!$I:$I)-2,1)</definedName>
    <definedName name="USDTHB">FloatRates.com!$I$2</definedName>
  </definedNames>
  <calcPr calcId="162913"/>
  <pivotCaches>
    <pivotCache cacheId="76" r:id="rId12"/>
  </pivotCaches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" i="19" l="1"/>
  <c r="N3" i="19"/>
  <c r="N4" i="19"/>
  <c r="N5" i="19"/>
  <c r="N6" i="19"/>
  <c r="N7" i="19"/>
  <c r="N8" i="19"/>
  <c r="N9" i="19"/>
  <c r="N10" i="19"/>
  <c r="N11" i="19"/>
  <c r="N12" i="19"/>
  <c r="N13" i="19"/>
  <c r="N14" i="19"/>
  <c r="N15" i="19"/>
  <c r="N16" i="19"/>
  <c r="N17" i="19"/>
  <c r="N18" i="19"/>
  <c r="N19" i="19"/>
  <c r="N20" i="19"/>
  <c r="N21" i="19"/>
  <c r="N22" i="19"/>
  <c r="N23" i="19"/>
  <c r="N24" i="19"/>
  <c r="N25" i="19"/>
  <c r="N26" i="19"/>
  <c r="N27" i="19"/>
  <c r="N28" i="19"/>
  <c r="N29" i="19"/>
  <c r="N30" i="19"/>
  <c r="N31" i="19"/>
  <c r="N32" i="19"/>
  <c r="N33" i="19"/>
  <c r="N34" i="19"/>
  <c r="N35" i="19"/>
  <c r="N36" i="19"/>
  <c r="N37" i="19"/>
  <c r="N38" i="19"/>
  <c r="N39" i="19"/>
  <c r="N40" i="19"/>
  <c r="N41" i="19"/>
  <c r="N42" i="19"/>
  <c r="N43" i="19"/>
  <c r="N44" i="19"/>
  <c r="N45" i="19"/>
  <c r="N46" i="19"/>
  <c r="N47" i="19"/>
  <c r="N48" i="19"/>
  <c r="N49" i="19"/>
  <c r="N50" i="19"/>
  <c r="N51" i="19"/>
  <c r="N52" i="19"/>
  <c r="N53" i="19"/>
  <c r="N54" i="19"/>
  <c r="N55" i="19"/>
  <c r="N56" i="19"/>
  <c r="N57" i="19"/>
  <c r="N58" i="19"/>
  <c r="N59" i="19"/>
  <c r="N60" i="19"/>
  <c r="N61" i="19"/>
  <c r="N62" i="19"/>
  <c r="N63" i="19"/>
  <c r="N64" i="19"/>
  <c r="N65" i="19"/>
  <c r="N66" i="19"/>
  <c r="N67" i="19"/>
  <c r="N68" i="19"/>
  <c r="N69" i="19"/>
  <c r="N70" i="19"/>
  <c r="N71" i="19"/>
  <c r="N72" i="19"/>
  <c r="N73" i="19"/>
  <c r="N74" i="19"/>
  <c r="N75" i="19"/>
  <c r="N76" i="19"/>
  <c r="N77" i="19"/>
  <c r="N78" i="19"/>
  <c r="N79" i="19"/>
  <c r="N80" i="19"/>
  <c r="N81" i="19"/>
  <c r="N82" i="19"/>
  <c r="N83" i="19"/>
  <c r="N84" i="19"/>
  <c r="N85" i="19"/>
  <c r="N86" i="19"/>
  <c r="N87" i="19"/>
  <c r="N88" i="19"/>
  <c r="N89" i="19"/>
  <c r="N90" i="19"/>
  <c r="N91" i="19"/>
  <c r="N92" i="19"/>
  <c r="N93" i="19"/>
  <c r="N94" i="19"/>
  <c r="N95" i="19"/>
  <c r="N96" i="19"/>
  <c r="N97" i="19"/>
  <c r="N98" i="19"/>
  <c r="N99" i="19"/>
  <c r="N100" i="19"/>
  <c r="N101" i="19"/>
  <c r="N102" i="19"/>
  <c r="N103" i="19"/>
  <c r="N104" i="19"/>
  <c r="N105" i="19"/>
  <c r="N106" i="19"/>
  <c r="N107" i="19"/>
  <c r="N108" i="19"/>
  <c r="N109" i="19"/>
  <c r="N110" i="19"/>
  <c r="N111" i="19"/>
  <c r="N112" i="19"/>
  <c r="N113" i="19"/>
  <c r="N114" i="19"/>
  <c r="N115" i="19"/>
  <c r="N116" i="19"/>
  <c r="N117" i="19"/>
  <c r="N118" i="19"/>
  <c r="N119" i="19"/>
  <c r="N120" i="19"/>
  <c r="N121" i="19"/>
  <c r="N122" i="19"/>
  <c r="N123" i="19"/>
  <c r="N124" i="19"/>
  <c r="N125" i="19"/>
  <c r="N126" i="19"/>
  <c r="N127" i="19"/>
  <c r="N128" i="19"/>
  <c r="N129" i="19"/>
  <c r="N130" i="19"/>
  <c r="N131" i="19"/>
  <c r="N132" i="19"/>
  <c r="N133" i="19"/>
  <c r="N134" i="19"/>
  <c r="N135" i="19"/>
  <c r="N136" i="19"/>
  <c r="N137" i="19"/>
  <c r="N138" i="19"/>
  <c r="N139" i="19"/>
  <c r="N140" i="19"/>
  <c r="N141" i="19"/>
  <c r="N142" i="19"/>
  <c r="N143" i="19"/>
  <c r="N144" i="19"/>
  <c r="N145" i="19"/>
  <c r="N146" i="19"/>
  <c r="N147" i="19"/>
  <c r="N148" i="19"/>
  <c r="N149" i="19"/>
  <c r="N150" i="19"/>
  <c r="N151" i="19"/>
  <c r="N152" i="19"/>
  <c r="N153" i="19"/>
  <c r="N154" i="19"/>
  <c r="N155" i="19"/>
  <c r="N156" i="19"/>
  <c r="N157" i="19"/>
  <c r="N158" i="19"/>
  <c r="N159" i="19"/>
  <c r="N160" i="19"/>
  <c r="N161" i="19"/>
  <c r="N162" i="19"/>
  <c r="N163" i="19"/>
  <c r="N164" i="19"/>
  <c r="N165" i="19"/>
  <c r="N166" i="19"/>
  <c r="N167" i="19"/>
  <c r="N168" i="19"/>
  <c r="N169" i="19"/>
  <c r="N170" i="19"/>
  <c r="N171" i="19"/>
  <c r="N172" i="19"/>
  <c r="N173" i="19"/>
  <c r="N174" i="19"/>
  <c r="N175" i="19"/>
  <c r="N176" i="19"/>
  <c r="N177" i="19"/>
  <c r="N178" i="19"/>
  <c r="N179" i="19"/>
  <c r="N180" i="19"/>
  <c r="N181" i="19"/>
  <c r="N182" i="19"/>
  <c r="N183" i="19"/>
  <c r="N184" i="19"/>
  <c r="N185" i="19"/>
  <c r="N186" i="19"/>
  <c r="N187" i="19"/>
  <c r="N188" i="19"/>
  <c r="N189" i="19"/>
  <c r="N190" i="19"/>
  <c r="N191" i="19"/>
  <c r="N192" i="19"/>
  <c r="N193" i="19"/>
  <c r="N194" i="19"/>
  <c r="N195" i="19"/>
  <c r="N196" i="19"/>
  <c r="N197" i="19"/>
  <c r="N198" i="19"/>
  <c r="N199" i="19"/>
  <c r="N200" i="19"/>
  <c r="N201" i="19"/>
  <c r="N202" i="19"/>
  <c r="N203" i="19"/>
  <c r="N204" i="19"/>
  <c r="N205" i="19"/>
  <c r="N206" i="19"/>
  <c r="N207" i="19"/>
  <c r="N208" i="19"/>
  <c r="N209" i="19"/>
  <c r="N210" i="19"/>
  <c r="N211" i="19"/>
  <c r="N212" i="19"/>
  <c r="N213" i="19"/>
  <c r="N214" i="19"/>
  <c r="N215" i="19"/>
  <c r="N216" i="19"/>
  <c r="N217" i="19"/>
  <c r="N218" i="19"/>
  <c r="N219" i="19"/>
  <c r="N220" i="19"/>
  <c r="N221" i="19"/>
  <c r="N222" i="19"/>
  <c r="N223" i="19"/>
  <c r="N224" i="19"/>
  <c r="N225" i="19"/>
  <c r="N226" i="19"/>
  <c r="N227" i="19"/>
  <c r="N228" i="19"/>
  <c r="N229" i="19"/>
  <c r="N230" i="19"/>
  <c r="N231" i="19"/>
  <c r="N232" i="19"/>
  <c r="N233" i="19"/>
  <c r="N234" i="19"/>
  <c r="N235" i="19"/>
  <c r="N236" i="19"/>
  <c r="N237" i="19"/>
  <c r="N238" i="19"/>
  <c r="N239" i="19"/>
  <c r="N240" i="19"/>
  <c r="N241" i="19"/>
  <c r="N242" i="19"/>
  <c r="N243" i="19"/>
  <c r="N244" i="19"/>
  <c r="N245" i="19"/>
  <c r="N246" i="19"/>
  <c r="N247" i="19"/>
  <c r="N248" i="19"/>
  <c r="N249" i="19"/>
  <c r="N250" i="19"/>
  <c r="N251" i="19"/>
  <c r="N252" i="19"/>
  <c r="N253" i="19"/>
  <c r="N254" i="19"/>
  <c r="N255" i="19"/>
  <c r="N256" i="19"/>
  <c r="N257" i="19"/>
  <c r="N258" i="19"/>
  <c r="N259" i="19"/>
  <c r="N260" i="19"/>
  <c r="O2" i="19"/>
  <c r="A2" i="22" s="1"/>
  <c r="O3" i="19"/>
  <c r="O4" i="19"/>
  <c r="O5" i="19"/>
  <c r="A5" i="22" s="1"/>
  <c r="O6" i="19"/>
  <c r="A6" i="22" s="1"/>
  <c r="O7" i="19"/>
  <c r="O8" i="19"/>
  <c r="O9" i="19"/>
  <c r="O10" i="19"/>
  <c r="A10" i="22" s="1"/>
  <c r="O11" i="19"/>
  <c r="O12" i="19"/>
  <c r="O13" i="19"/>
  <c r="O14" i="19"/>
  <c r="A14" i="22" s="1"/>
  <c r="O15" i="19"/>
  <c r="O16" i="19"/>
  <c r="O17" i="19"/>
  <c r="O18" i="19"/>
  <c r="A18" i="22" s="1"/>
  <c r="O19" i="19"/>
  <c r="O20" i="19"/>
  <c r="O21" i="19"/>
  <c r="O22" i="19"/>
  <c r="A22" i="22" s="1"/>
  <c r="O23" i="19"/>
  <c r="O24" i="19"/>
  <c r="O25" i="19"/>
  <c r="A25" i="22" s="1"/>
  <c r="O26" i="19"/>
  <c r="A26" i="22" s="1"/>
  <c r="O27" i="19"/>
  <c r="O28" i="19"/>
  <c r="O29" i="19"/>
  <c r="A29" i="22" s="1"/>
  <c r="O30" i="19"/>
  <c r="A30" i="22" s="1"/>
  <c r="O31" i="19"/>
  <c r="O32" i="19"/>
  <c r="O33" i="19"/>
  <c r="A33" i="22" s="1"/>
  <c r="O34" i="19"/>
  <c r="A34" i="22" s="1"/>
  <c r="O35" i="19"/>
  <c r="O36" i="19"/>
  <c r="O37" i="19"/>
  <c r="A37" i="22" s="1"/>
  <c r="O38" i="19"/>
  <c r="O39" i="19"/>
  <c r="O40" i="19"/>
  <c r="O41" i="19"/>
  <c r="O42" i="19"/>
  <c r="A42" i="22" s="1"/>
  <c r="O43" i="19"/>
  <c r="O44" i="19"/>
  <c r="O45" i="19"/>
  <c r="A45" i="22" s="1"/>
  <c r="O46" i="19"/>
  <c r="A46" i="22" s="1"/>
  <c r="O47" i="19"/>
  <c r="O48" i="19"/>
  <c r="O49" i="19"/>
  <c r="O50" i="19"/>
  <c r="A50" i="22" s="1"/>
  <c r="O51" i="19"/>
  <c r="O52" i="19"/>
  <c r="O53" i="19"/>
  <c r="A53" i="22" s="1"/>
  <c r="O54" i="19"/>
  <c r="A54" i="22" s="1"/>
  <c r="O55" i="19"/>
  <c r="O56" i="19"/>
  <c r="O57" i="19"/>
  <c r="O58" i="19"/>
  <c r="A58" i="22" s="1"/>
  <c r="O59" i="19"/>
  <c r="O60" i="19"/>
  <c r="O61" i="19"/>
  <c r="A61" i="22" s="1"/>
  <c r="O62" i="19"/>
  <c r="A62" i="22" s="1"/>
  <c r="O63" i="19"/>
  <c r="O64" i="19"/>
  <c r="O65" i="19"/>
  <c r="A65" i="22" s="1"/>
  <c r="O66" i="19"/>
  <c r="A66" i="22" s="1"/>
  <c r="O67" i="19"/>
  <c r="O68" i="19"/>
  <c r="O69" i="19"/>
  <c r="O70" i="19"/>
  <c r="A70" i="22" s="1"/>
  <c r="O71" i="19"/>
  <c r="O72" i="19"/>
  <c r="O73" i="19"/>
  <c r="A73" i="22" s="1"/>
  <c r="O74" i="19"/>
  <c r="A74" i="22" s="1"/>
  <c r="O75" i="19"/>
  <c r="O76" i="19"/>
  <c r="O77" i="19"/>
  <c r="O78" i="19"/>
  <c r="A78" i="22" s="1"/>
  <c r="O79" i="19"/>
  <c r="O80" i="19"/>
  <c r="O81" i="19"/>
  <c r="O82" i="19"/>
  <c r="A82" i="22" s="1"/>
  <c r="O83" i="19"/>
  <c r="O84" i="19"/>
  <c r="O85" i="19"/>
  <c r="A85" i="22" s="1"/>
  <c r="O86" i="19"/>
  <c r="A86" i="22" s="1"/>
  <c r="O87" i="19"/>
  <c r="O88" i="19"/>
  <c r="O89" i="19"/>
  <c r="O90" i="19"/>
  <c r="A90" i="22" s="1"/>
  <c r="O91" i="19"/>
  <c r="O92" i="19"/>
  <c r="O93" i="19"/>
  <c r="A93" i="22" s="1"/>
  <c r="O94" i="19"/>
  <c r="A94" i="22" s="1"/>
  <c r="O95" i="19"/>
  <c r="O96" i="19"/>
  <c r="O97" i="19"/>
  <c r="A97" i="22" s="1"/>
  <c r="O98" i="19"/>
  <c r="A98" i="22" s="1"/>
  <c r="O99" i="19"/>
  <c r="O100" i="19"/>
  <c r="O101" i="19"/>
  <c r="A101" i="22" s="1"/>
  <c r="O102" i="19"/>
  <c r="O103" i="19"/>
  <c r="O104" i="19"/>
  <c r="O105" i="19"/>
  <c r="A105" i="22" s="1"/>
  <c r="O106" i="19"/>
  <c r="A106" i="22" s="1"/>
  <c r="O107" i="19"/>
  <c r="O108" i="19"/>
  <c r="O109" i="19"/>
  <c r="A109" i="22" s="1"/>
  <c r="O110" i="19"/>
  <c r="A110" i="22" s="1"/>
  <c r="O111" i="19"/>
  <c r="O112" i="19"/>
  <c r="O113" i="19"/>
  <c r="A113" i="22" s="1"/>
  <c r="O114" i="19"/>
  <c r="A114" i="22" s="1"/>
  <c r="O115" i="19"/>
  <c r="O116" i="19"/>
  <c r="O117" i="19"/>
  <c r="A117" i="22" s="1"/>
  <c r="O118" i="19"/>
  <c r="A118" i="22" s="1"/>
  <c r="O119" i="19"/>
  <c r="O120" i="19"/>
  <c r="O121" i="19"/>
  <c r="A121" i="22" s="1"/>
  <c r="O122" i="19"/>
  <c r="A122" i="22" s="1"/>
  <c r="O123" i="19"/>
  <c r="O124" i="19"/>
  <c r="O125" i="19"/>
  <c r="O126" i="19"/>
  <c r="A126" i="22" s="1"/>
  <c r="O127" i="19"/>
  <c r="O128" i="19"/>
  <c r="O129" i="19"/>
  <c r="A129" i="22" s="1"/>
  <c r="O130" i="19"/>
  <c r="A130" i="22" s="1"/>
  <c r="O131" i="19"/>
  <c r="O132" i="19"/>
  <c r="O133" i="19"/>
  <c r="A133" i="22" s="1"/>
  <c r="O134" i="19"/>
  <c r="A134" i="22" s="1"/>
  <c r="O135" i="19"/>
  <c r="O136" i="19"/>
  <c r="O137" i="19"/>
  <c r="O138" i="19"/>
  <c r="A138" i="22" s="1"/>
  <c r="O139" i="19"/>
  <c r="O140" i="19"/>
  <c r="O141" i="19"/>
  <c r="A141" i="22" s="1"/>
  <c r="O142" i="19"/>
  <c r="A142" i="22" s="1"/>
  <c r="O143" i="19"/>
  <c r="O144" i="19"/>
  <c r="O145" i="19"/>
  <c r="A145" i="22" s="1"/>
  <c r="O146" i="19"/>
  <c r="A146" i="22" s="1"/>
  <c r="O147" i="19"/>
  <c r="O148" i="19"/>
  <c r="O149" i="19"/>
  <c r="A149" i="22" s="1"/>
  <c r="O150" i="19"/>
  <c r="A150" i="22" s="1"/>
  <c r="O151" i="19"/>
  <c r="O152" i="19"/>
  <c r="O153" i="19"/>
  <c r="A153" i="22" s="1"/>
  <c r="O154" i="19"/>
  <c r="A154" i="22" s="1"/>
  <c r="O155" i="19"/>
  <c r="O156" i="19"/>
  <c r="O157" i="19"/>
  <c r="A157" i="22" s="1"/>
  <c r="O158" i="19"/>
  <c r="A158" i="22" s="1"/>
  <c r="O159" i="19"/>
  <c r="O160" i="19"/>
  <c r="O161" i="19"/>
  <c r="A161" i="22" s="1"/>
  <c r="O162" i="19"/>
  <c r="A162" i="22" s="1"/>
  <c r="O163" i="19"/>
  <c r="O164" i="19"/>
  <c r="O165" i="19"/>
  <c r="A165" i="22" s="1"/>
  <c r="O166" i="19"/>
  <c r="A166" i="22" s="1"/>
  <c r="O167" i="19"/>
  <c r="O168" i="19"/>
  <c r="O169" i="19"/>
  <c r="A169" i="22" s="1"/>
  <c r="O170" i="19"/>
  <c r="O171" i="19"/>
  <c r="O172" i="19"/>
  <c r="O173" i="19"/>
  <c r="O174" i="19"/>
  <c r="A174" i="22" s="1"/>
  <c r="O175" i="19"/>
  <c r="O176" i="19"/>
  <c r="O177" i="19"/>
  <c r="A177" i="22" s="1"/>
  <c r="O178" i="19"/>
  <c r="O179" i="19"/>
  <c r="O180" i="19"/>
  <c r="O181" i="19"/>
  <c r="A181" i="22" s="1"/>
  <c r="O182" i="19"/>
  <c r="A182" i="22" s="1"/>
  <c r="O183" i="19"/>
  <c r="O184" i="19"/>
  <c r="O185" i="19"/>
  <c r="A185" i="22" s="1"/>
  <c r="O186" i="19"/>
  <c r="A186" i="22" s="1"/>
  <c r="O187" i="19"/>
  <c r="O188" i="19"/>
  <c r="O189" i="19"/>
  <c r="A189" i="22" s="1"/>
  <c r="O190" i="19"/>
  <c r="A190" i="22" s="1"/>
  <c r="O191" i="19"/>
  <c r="O192" i="19"/>
  <c r="O193" i="19"/>
  <c r="A193" i="22" s="1"/>
  <c r="O194" i="19"/>
  <c r="A194" i="22" s="1"/>
  <c r="O195" i="19"/>
  <c r="O196" i="19"/>
  <c r="O197" i="19"/>
  <c r="A197" i="22" s="1"/>
  <c r="O198" i="19"/>
  <c r="A198" i="22" s="1"/>
  <c r="O199" i="19"/>
  <c r="O200" i="19"/>
  <c r="O201" i="19"/>
  <c r="A201" i="22" s="1"/>
  <c r="O202" i="19"/>
  <c r="A202" i="22" s="1"/>
  <c r="O203" i="19"/>
  <c r="O204" i="19"/>
  <c r="O205" i="19"/>
  <c r="A205" i="22" s="1"/>
  <c r="O206" i="19"/>
  <c r="A206" i="22" s="1"/>
  <c r="O207" i="19"/>
  <c r="O208" i="19"/>
  <c r="O209" i="19"/>
  <c r="A209" i="22" s="1"/>
  <c r="O210" i="19"/>
  <c r="A210" i="22" s="1"/>
  <c r="O211" i="19"/>
  <c r="O212" i="19"/>
  <c r="O213" i="19"/>
  <c r="O214" i="19"/>
  <c r="A214" i="22" s="1"/>
  <c r="O215" i="19"/>
  <c r="O216" i="19"/>
  <c r="O217" i="19"/>
  <c r="O218" i="19"/>
  <c r="O219" i="19"/>
  <c r="O220" i="19"/>
  <c r="O221" i="19"/>
  <c r="A221" i="22" s="1"/>
  <c r="O222" i="19"/>
  <c r="A222" i="22" s="1"/>
  <c r="O223" i="19"/>
  <c r="O224" i="19"/>
  <c r="O225" i="19"/>
  <c r="O226" i="19"/>
  <c r="A226" i="22" s="1"/>
  <c r="O227" i="19"/>
  <c r="O228" i="19"/>
  <c r="O229" i="19"/>
  <c r="A229" i="22" s="1"/>
  <c r="O230" i="19"/>
  <c r="A230" i="22" s="1"/>
  <c r="O231" i="19"/>
  <c r="O232" i="19"/>
  <c r="O233" i="19"/>
  <c r="A233" i="22" s="1"/>
  <c r="O234" i="19"/>
  <c r="A234" i="22" s="1"/>
  <c r="O235" i="19"/>
  <c r="O236" i="19"/>
  <c r="O237" i="19"/>
  <c r="A237" i="22" s="1"/>
  <c r="O238" i="19"/>
  <c r="A238" i="22" s="1"/>
  <c r="O239" i="19"/>
  <c r="O240" i="19"/>
  <c r="O241" i="19"/>
  <c r="A241" i="22" s="1"/>
  <c r="O242" i="19"/>
  <c r="A242" i="22" s="1"/>
  <c r="O243" i="19"/>
  <c r="O244" i="19"/>
  <c r="O245" i="19"/>
  <c r="A245" i="22" s="1"/>
  <c r="O246" i="19"/>
  <c r="O247" i="19"/>
  <c r="O248" i="19"/>
  <c r="O249" i="19"/>
  <c r="A249" i="22" s="1"/>
  <c r="O250" i="19"/>
  <c r="A250" i="22" s="1"/>
  <c r="O251" i="19"/>
  <c r="O252" i="19"/>
  <c r="O253" i="19"/>
  <c r="A253" i="22" s="1"/>
  <c r="O254" i="19"/>
  <c r="A254" i="22" s="1"/>
  <c r="O255" i="19"/>
  <c r="O256" i="19"/>
  <c r="O257" i="19"/>
  <c r="A257" i="22" s="1"/>
  <c r="O258" i="19"/>
  <c r="O259" i="19"/>
  <c r="O260" i="19"/>
  <c r="P2" i="19"/>
  <c r="B2" i="22" s="1"/>
  <c r="P3" i="19"/>
  <c r="P4" i="19"/>
  <c r="P5" i="19"/>
  <c r="P6" i="19"/>
  <c r="B6" i="22" s="1"/>
  <c r="P7" i="19"/>
  <c r="B7" i="22" s="1"/>
  <c r="P8" i="19"/>
  <c r="P9" i="19"/>
  <c r="P10" i="19"/>
  <c r="B10" i="22" s="1"/>
  <c r="P11" i="19"/>
  <c r="B11" i="22" s="1"/>
  <c r="P12" i="19"/>
  <c r="P13" i="19"/>
  <c r="P14" i="19"/>
  <c r="B14" i="22" s="1"/>
  <c r="P15" i="19"/>
  <c r="B15" i="22" s="1"/>
  <c r="P16" i="19"/>
  <c r="P17" i="19"/>
  <c r="P18" i="19"/>
  <c r="B18" i="22" s="1"/>
  <c r="P19" i="19"/>
  <c r="B19" i="22" s="1"/>
  <c r="P20" i="19"/>
  <c r="P21" i="19"/>
  <c r="P22" i="19"/>
  <c r="B22" i="22" s="1"/>
  <c r="P23" i="19"/>
  <c r="B23" i="22" s="1"/>
  <c r="P24" i="19"/>
  <c r="P25" i="19"/>
  <c r="P26" i="19"/>
  <c r="P27" i="19"/>
  <c r="B27" i="22" s="1"/>
  <c r="P28" i="19"/>
  <c r="P29" i="19"/>
  <c r="P30" i="19"/>
  <c r="P31" i="19"/>
  <c r="B31" i="22" s="1"/>
  <c r="P32" i="19"/>
  <c r="P33" i="19"/>
  <c r="P34" i="19"/>
  <c r="P35" i="19"/>
  <c r="B35" i="22" s="1"/>
  <c r="P36" i="19"/>
  <c r="P37" i="19"/>
  <c r="P38" i="19"/>
  <c r="B38" i="22" s="1"/>
  <c r="P39" i="19"/>
  <c r="B39" i="22" s="1"/>
  <c r="P40" i="19"/>
  <c r="P41" i="19"/>
  <c r="P42" i="19"/>
  <c r="P43" i="19"/>
  <c r="B43" i="22" s="1"/>
  <c r="P44" i="19"/>
  <c r="P45" i="19"/>
  <c r="P46" i="19"/>
  <c r="B46" i="22" s="1"/>
  <c r="P47" i="19"/>
  <c r="B47" i="22" s="1"/>
  <c r="P48" i="19"/>
  <c r="P49" i="19"/>
  <c r="P50" i="19"/>
  <c r="B50" i="22" s="1"/>
  <c r="P51" i="19"/>
  <c r="B51" i="22" s="1"/>
  <c r="P52" i="19"/>
  <c r="P53" i="19"/>
  <c r="P54" i="19"/>
  <c r="B54" i="22" s="1"/>
  <c r="P55" i="19"/>
  <c r="B55" i="22" s="1"/>
  <c r="P56" i="19"/>
  <c r="P57" i="19"/>
  <c r="P58" i="19"/>
  <c r="P59" i="19"/>
  <c r="P60" i="19"/>
  <c r="P61" i="19"/>
  <c r="P62" i="19"/>
  <c r="B62" i="22" s="1"/>
  <c r="P63" i="19"/>
  <c r="B63" i="22" s="1"/>
  <c r="P64" i="19"/>
  <c r="P65" i="19"/>
  <c r="P66" i="19"/>
  <c r="B66" i="22" s="1"/>
  <c r="P67" i="19"/>
  <c r="B67" i="22" s="1"/>
  <c r="P68" i="19"/>
  <c r="P69" i="19"/>
  <c r="P70" i="19"/>
  <c r="B70" i="22" s="1"/>
  <c r="P71" i="19"/>
  <c r="B71" i="22" s="1"/>
  <c r="P72" i="19"/>
  <c r="P73" i="19"/>
  <c r="P74" i="19"/>
  <c r="B74" i="22" s="1"/>
  <c r="P75" i="19"/>
  <c r="B75" i="22" s="1"/>
  <c r="P76" i="19"/>
  <c r="P77" i="19"/>
  <c r="P78" i="19"/>
  <c r="P79" i="19"/>
  <c r="B79" i="22" s="1"/>
  <c r="P80" i="19"/>
  <c r="P81" i="19"/>
  <c r="P82" i="19"/>
  <c r="B82" i="22" s="1"/>
  <c r="P83" i="19"/>
  <c r="B83" i="22" s="1"/>
  <c r="P84" i="19"/>
  <c r="P85" i="19"/>
  <c r="P86" i="19"/>
  <c r="B86" i="22" s="1"/>
  <c r="P87" i="19"/>
  <c r="B87" i="22" s="1"/>
  <c r="P88" i="19"/>
  <c r="P89" i="19"/>
  <c r="P90" i="19"/>
  <c r="B90" i="22" s="1"/>
  <c r="P91" i="19"/>
  <c r="B91" i="22" s="1"/>
  <c r="P92" i="19"/>
  <c r="P93" i="19"/>
  <c r="P94" i="19"/>
  <c r="B94" i="22" s="1"/>
  <c r="P95" i="19"/>
  <c r="P96" i="19"/>
  <c r="P97" i="19"/>
  <c r="P98" i="19"/>
  <c r="B98" i="22" s="1"/>
  <c r="P99" i="19"/>
  <c r="B99" i="22" s="1"/>
  <c r="P100" i="19"/>
  <c r="P101" i="19"/>
  <c r="P102" i="19"/>
  <c r="B102" i="22" s="1"/>
  <c r="P103" i="19"/>
  <c r="B103" i="22" s="1"/>
  <c r="P104" i="19"/>
  <c r="P105" i="19"/>
  <c r="P106" i="19"/>
  <c r="B106" i="22" s="1"/>
  <c r="P107" i="19"/>
  <c r="B107" i="22" s="1"/>
  <c r="P108" i="19"/>
  <c r="P109" i="19"/>
  <c r="P110" i="19"/>
  <c r="B110" i="22" s="1"/>
  <c r="P111" i="19"/>
  <c r="B111" i="22" s="1"/>
  <c r="P112" i="19"/>
  <c r="P113" i="19"/>
  <c r="P114" i="19"/>
  <c r="B114" i="22" s="1"/>
  <c r="P115" i="19"/>
  <c r="B115" i="22" s="1"/>
  <c r="P116" i="19"/>
  <c r="P117" i="19"/>
  <c r="P118" i="19"/>
  <c r="P119" i="19"/>
  <c r="B119" i="22" s="1"/>
  <c r="P120" i="19"/>
  <c r="P121" i="19"/>
  <c r="P122" i="19"/>
  <c r="B122" i="22" s="1"/>
  <c r="P123" i="19"/>
  <c r="B123" i="22" s="1"/>
  <c r="P124" i="19"/>
  <c r="P125" i="19"/>
  <c r="P126" i="19"/>
  <c r="B126" i="22" s="1"/>
  <c r="P127" i="19"/>
  <c r="B127" i="22" s="1"/>
  <c r="P128" i="19"/>
  <c r="P129" i="19"/>
  <c r="P130" i="19"/>
  <c r="P131" i="19"/>
  <c r="B131" i="22" s="1"/>
  <c r="P132" i="19"/>
  <c r="P133" i="19"/>
  <c r="P134" i="19"/>
  <c r="B134" i="22" s="1"/>
  <c r="P135" i="19"/>
  <c r="B135" i="22" s="1"/>
  <c r="P136" i="19"/>
  <c r="P137" i="19"/>
  <c r="P138" i="19"/>
  <c r="B138" i="22" s="1"/>
  <c r="P139" i="19"/>
  <c r="B139" i="22" s="1"/>
  <c r="P140" i="19"/>
  <c r="P141" i="19"/>
  <c r="P142" i="19"/>
  <c r="P143" i="19"/>
  <c r="B143" i="22" s="1"/>
  <c r="P144" i="19"/>
  <c r="P145" i="19"/>
  <c r="P146" i="19"/>
  <c r="B146" i="22" s="1"/>
  <c r="P147" i="19"/>
  <c r="B147" i="22" s="1"/>
  <c r="P148" i="19"/>
  <c r="P149" i="19"/>
  <c r="P150" i="19"/>
  <c r="B150" i="22" s="1"/>
  <c r="P151" i="19"/>
  <c r="B151" i="22" s="1"/>
  <c r="P152" i="19"/>
  <c r="P153" i="19"/>
  <c r="P154" i="19"/>
  <c r="B154" i="22" s="1"/>
  <c r="P155" i="19"/>
  <c r="B155" i="22" s="1"/>
  <c r="P156" i="19"/>
  <c r="P157" i="19"/>
  <c r="P158" i="19"/>
  <c r="B158" i="22" s="1"/>
  <c r="P159" i="19"/>
  <c r="B159" i="22" s="1"/>
  <c r="P160" i="19"/>
  <c r="P161" i="19"/>
  <c r="P162" i="19"/>
  <c r="P163" i="19"/>
  <c r="P164" i="19"/>
  <c r="P165" i="19"/>
  <c r="P166" i="19"/>
  <c r="B166" i="22" s="1"/>
  <c r="P167" i="19"/>
  <c r="B167" i="22" s="1"/>
  <c r="P168" i="19"/>
  <c r="P169" i="19"/>
  <c r="P170" i="19"/>
  <c r="P171" i="19"/>
  <c r="B171" i="22" s="1"/>
  <c r="P172" i="19"/>
  <c r="P173" i="19"/>
  <c r="P174" i="19"/>
  <c r="B174" i="22" s="1"/>
  <c r="P175" i="19"/>
  <c r="B175" i="22" s="1"/>
  <c r="P176" i="19"/>
  <c r="P177" i="19"/>
  <c r="P178" i="19"/>
  <c r="B178" i="22" s="1"/>
  <c r="P179" i="19"/>
  <c r="B179" i="22" s="1"/>
  <c r="P180" i="19"/>
  <c r="P181" i="19"/>
  <c r="P182" i="19"/>
  <c r="B182" i="22" s="1"/>
  <c r="P183" i="19"/>
  <c r="B183" i="22" s="1"/>
  <c r="P184" i="19"/>
  <c r="P185" i="19"/>
  <c r="P186" i="19"/>
  <c r="B186" i="22" s="1"/>
  <c r="P187" i="19"/>
  <c r="B187" i="22" s="1"/>
  <c r="P188" i="19"/>
  <c r="P189" i="19"/>
  <c r="P190" i="19"/>
  <c r="B190" i="22" s="1"/>
  <c r="P191" i="19"/>
  <c r="B191" i="22" s="1"/>
  <c r="P192" i="19"/>
  <c r="P193" i="19"/>
  <c r="P194" i="19"/>
  <c r="P195" i="19"/>
  <c r="P196" i="19"/>
  <c r="P197" i="19"/>
  <c r="P198" i="19"/>
  <c r="B198" i="22" s="1"/>
  <c r="P199" i="19"/>
  <c r="B199" i="22" s="1"/>
  <c r="P200" i="19"/>
  <c r="P201" i="19"/>
  <c r="P202" i="19"/>
  <c r="B202" i="22" s="1"/>
  <c r="P203" i="19"/>
  <c r="B203" i="22" s="1"/>
  <c r="P204" i="19"/>
  <c r="P205" i="19"/>
  <c r="P206" i="19"/>
  <c r="B206" i="22" s="1"/>
  <c r="P207" i="19"/>
  <c r="B207" i="22" s="1"/>
  <c r="P208" i="19"/>
  <c r="P209" i="19"/>
  <c r="P210" i="19"/>
  <c r="B210" i="22" s="1"/>
  <c r="P211" i="19"/>
  <c r="B211" i="22" s="1"/>
  <c r="P212" i="19"/>
  <c r="P213" i="19"/>
  <c r="P214" i="19"/>
  <c r="B214" i="22" s="1"/>
  <c r="P215" i="19"/>
  <c r="B215" i="22" s="1"/>
  <c r="P216" i="19"/>
  <c r="P217" i="19"/>
  <c r="P218" i="19"/>
  <c r="B218" i="22" s="1"/>
  <c r="P219" i="19"/>
  <c r="B219" i="22" s="1"/>
  <c r="P220" i="19"/>
  <c r="P221" i="19"/>
  <c r="P222" i="19"/>
  <c r="P223" i="19"/>
  <c r="B223" i="22" s="1"/>
  <c r="P224" i="19"/>
  <c r="P225" i="19"/>
  <c r="P226" i="19"/>
  <c r="P227" i="19"/>
  <c r="B227" i="22" s="1"/>
  <c r="P228" i="19"/>
  <c r="P229" i="19"/>
  <c r="P230" i="19"/>
  <c r="P231" i="19"/>
  <c r="B231" i="22" s="1"/>
  <c r="P232" i="19"/>
  <c r="P233" i="19"/>
  <c r="P234" i="19"/>
  <c r="B234" i="22" s="1"/>
  <c r="P235" i="19"/>
  <c r="B235" i="22" s="1"/>
  <c r="P236" i="19"/>
  <c r="P237" i="19"/>
  <c r="P238" i="19"/>
  <c r="B238" i="22" s="1"/>
  <c r="P239" i="19"/>
  <c r="B239" i="22" s="1"/>
  <c r="P240" i="19"/>
  <c r="P241" i="19"/>
  <c r="P242" i="19"/>
  <c r="B242" i="22" s="1"/>
  <c r="P243" i="19"/>
  <c r="B243" i="22" s="1"/>
  <c r="P244" i="19"/>
  <c r="P245" i="19"/>
  <c r="P246" i="19"/>
  <c r="P247" i="19"/>
  <c r="P248" i="19"/>
  <c r="P249" i="19"/>
  <c r="P250" i="19"/>
  <c r="B250" i="22" s="1"/>
  <c r="P251" i="19"/>
  <c r="B251" i="22" s="1"/>
  <c r="P252" i="19"/>
  <c r="P253" i="19"/>
  <c r="P254" i="19"/>
  <c r="B254" i="22" s="1"/>
  <c r="P255" i="19"/>
  <c r="B255" i="22" s="1"/>
  <c r="P256" i="19"/>
  <c r="P257" i="19"/>
  <c r="P258" i="19"/>
  <c r="P259" i="19"/>
  <c r="P260" i="19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32" i="14"/>
  <c r="H33" i="14"/>
  <c r="H34" i="14"/>
  <c r="H35" i="14"/>
  <c r="H36" i="14"/>
  <c r="H37" i="14"/>
  <c r="H38" i="14"/>
  <c r="H39" i="14"/>
  <c r="H40" i="14"/>
  <c r="H41" i="14"/>
  <c r="H42" i="14"/>
  <c r="H43" i="14"/>
  <c r="H44" i="14"/>
  <c r="H45" i="14"/>
  <c r="H46" i="14"/>
  <c r="H47" i="14"/>
  <c r="H48" i="14"/>
  <c r="H49" i="14"/>
  <c r="H50" i="14"/>
  <c r="H51" i="14"/>
  <c r="H52" i="14"/>
  <c r="H53" i="14"/>
  <c r="H54" i="14"/>
  <c r="H55" i="14"/>
  <c r="H56" i="14"/>
  <c r="H57" i="14"/>
  <c r="H58" i="14"/>
  <c r="H59" i="14"/>
  <c r="H60" i="14"/>
  <c r="H61" i="14"/>
  <c r="H62" i="14"/>
  <c r="H63" i="14"/>
  <c r="H64" i="14"/>
  <c r="H65" i="14"/>
  <c r="H66" i="14"/>
  <c r="H67" i="14"/>
  <c r="H68" i="14"/>
  <c r="H69" i="14"/>
  <c r="H70" i="14"/>
  <c r="H71" i="14"/>
  <c r="H72" i="14"/>
  <c r="H73" i="14"/>
  <c r="H74" i="14"/>
  <c r="H75" i="14"/>
  <c r="H76" i="14"/>
  <c r="H77" i="14"/>
  <c r="H78" i="14"/>
  <c r="H79" i="14"/>
  <c r="H80" i="14"/>
  <c r="H81" i="14"/>
  <c r="I2" i="14"/>
  <c r="I3" i="14"/>
  <c r="I4" i="14"/>
  <c r="I5" i="14"/>
  <c r="I6" i="14"/>
  <c r="I7" i="14"/>
  <c r="I8" i="14"/>
  <c r="I9" i="14"/>
  <c r="I10" i="14"/>
  <c r="I11" i="14"/>
  <c r="I12" i="14"/>
  <c r="I13" i="14"/>
  <c r="I14" i="14"/>
  <c r="I15" i="14"/>
  <c r="I16" i="14"/>
  <c r="I17" i="14"/>
  <c r="I18" i="14"/>
  <c r="I19" i="14"/>
  <c r="I20" i="14"/>
  <c r="I21" i="14"/>
  <c r="I22" i="14"/>
  <c r="I23" i="14"/>
  <c r="I24" i="14"/>
  <c r="I25" i="14"/>
  <c r="I26" i="14"/>
  <c r="I27" i="14"/>
  <c r="I28" i="14"/>
  <c r="I29" i="14"/>
  <c r="I30" i="14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50" i="14"/>
  <c r="I51" i="14"/>
  <c r="I52" i="14"/>
  <c r="I53" i="14"/>
  <c r="I54" i="14"/>
  <c r="I55" i="14"/>
  <c r="I56" i="14"/>
  <c r="I57" i="14"/>
  <c r="I58" i="14"/>
  <c r="I59" i="14"/>
  <c r="I60" i="14"/>
  <c r="I61" i="14"/>
  <c r="I62" i="14"/>
  <c r="I63" i="14"/>
  <c r="I64" i="14"/>
  <c r="I65" i="14"/>
  <c r="I66" i="14"/>
  <c r="I67" i="14"/>
  <c r="I68" i="14"/>
  <c r="I69" i="14"/>
  <c r="I70" i="14"/>
  <c r="I71" i="14"/>
  <c r="I72" i="14"/>
  <c r="I73" i="14"/>
  <c r="I74" i="14"/>
  <c r="I75" i="14"/>
  <c r="I76" i="14"/>
  <c r="I77" i="14"/>
  <c r="I78" i="14"/>
  <c r="I79" i="14"/>
  <c r="I80" i="14"/>
  <c r="I81" i="14"/>
  <c r="C2" i="11"/>
  <c r="C3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4" i="11"/>
  <c r="C185" i="11"/>
  <c r="C186" i="11"/>
  <c r="C187" i="11"/>
  <c r="C188" i="11"/>
  <c r="C189" i="11"/>
  <c r="C190" i="11"/>
  <c r="C191" i="11"/>
  <c r="C192" i="11"/>
  <c r="C193" i="11"/>
  <c r="C194" i="11"/>
  <c r="C195" i="11"/>
  <c r="C196" i="11"/>
  <c r="C197" i="11"/>
  <c r="C198" i="11"/>
  <c r="C199" i="11"/>
  <c r="C200" i="11"/>
  <c r="C201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6" i="11"/>
  <c r="C217" i="11"/>
  <c r="C218" i="11"/>
  <c r="C219" i="11"/>
  <c r="C220" i="11"/>
  <c r="C221" i="11"/>
  <c r="C222" i="11"/>
  <c r="C223" i="11"/>
  <c r="C224" i="11"/>
  <c r="C225" i="11"/>
  <c r="C226" i="11"/>
  <c r="C227" i="11"/>
  <c r="C228" i="11"/>
  <c r="C229" i="11"/>
  <c r="C230" i="11"/>
  <c r="C231" i="11"/>
  <c r="C232" i="11"/>
  <c r="C233" i="11"/>
  <c r="C234" i="11"/>
  <c r="C235" i="11"/>
  <c r="C236" i="11"/>
  <c r="C237" i="11"/>
  <c r="C238" i="11"/>
  <c r="C239" i="11"/>
  <c r="C240" i="11"/>
  <c r="D2" i="11"/>
  <c r="D3" i="11"/>
  <c r="D4" i="11"/>
  <c r="D5" i="11"/>
  <c r="D6" i="11"/>
  <c r="D7" i="11"/>
  <c r="D8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239" i="11"/>
  <c r="D240" i="11"/>
  <c r="G2" i="12"/>
  <c r="G3" i="12"/>
  <c r="G4" i="12"/>
  <c r="G5" i="12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H2" i="12"/>
  <c r="H3" i="12"/>
  <c r="H4" i="12"/>
  <c r="A4" i="23" s="1"/>
  <c r="H5" i="12"/>
  <c r="H6" i="12"/>
  <c r="H7" i="12"/>
  <c r="H8" i="12"/>
  <c r="A8" i="23" s="1"/>
  <c r="H9" i="12"/>
  <c r="A9" i="23" s="1"/>
  <c r="H10" i="12"/>
  <c r="H11" i="12"/>
  <c r="H12" i="12"/>
  <c r="H13" i="12"/>
  <c r="A13" i="23" s="1"/>
  <c r="H14" i="12"/>
  <c r="H15" i="12"/>
  <c r="H16" i="12"/>
  <c r="H17" i="12"/>
  <c r="A17" i="23" s="1"/>
  <c r="H18" i="12"/>
  <c r="H19" i="12"/>
  <c r="H20" i="12"/>
  <c r="A20" i="23" s="1"/>
  <c r="H21" i="12"/>
  <c r="A21" i="23" s="1"/>
  <c r="I2" i="12"/>
  <c r="I3" i="12"/>
  <c r="I4" i="12"/>
  <c r="I5" i="12"/>
  <c r="B5" i="23" s="1"/>
  <c r="I6" i="12"/>
  <c r="I7" i="12"/>
  <c r="I8" i="12"/>
  <c r="B8" i="23" s="1"/>
  <c r="I9" i="12"/>
  <c r="B9" i="23" s="1"/>
  <c r="I10" i="12"/>
  <c r="I11" i="12"/>
  <c r="I12" i="12"/>
  <c r="B12" i="23" s="1"/>
  <c r="I13" i="12"/>
  <c r="B13" i="23" s="1"/>
  <c r="I14" i="12"/>
  <c r="I15" i="12"/>
  <c r="I16" i="12"/>
  <c r="B16" i="23" s="1"/>
  <c r="I17" i="12"/>
  <c r="B17" i="23" s="1"/>
  <c r="I18" i="12"/>
  <c r="I19" i="12"/>
  <c r="I20" i="12"/>
  <c r="I21" i="12"/>
  <c r="B21" i="23" s="1"/>
  <c r="A3" i="22"/>
  <c r="A4" i="22"/>
  <c r="A7" i="22"/>
  <c r="A8" i="22"/>
  <c r="A12" i="22"/>
  <c r="A16" i="22"/>
  <c r="A19" i="22"/>
  <c r="A20" i="22"/>
  <c r="A24" i="22"/>
  <c r="A27" i="22"/>
  <c r="A28" i="22"/>
  <c r="A32" i="22"/>
  <c r="A36" i="22"/>
  <c r="A39" i="22"/>
  <c r="A40" i="22"/>
  <c r="A44" i="22"/>
  <c r="A47" i="22"/>
  <c r="A48" i="22"/>
  <c r="A52" i="22"/>
  <c r="A56" i="22"/>
  <c r="A63" i="22"/>
  <c r="A64" i="22"/>
  <c r="A67" i="22"/>
  <c r="A68" i="22"/>
  <c r="A72" i="22"/>
  <c r="A75" i="22"/>
  <c r="A76" i="22"/>
  <c r="A79" i="22"/>
  <c r="A80" i="22"/>
  <c r="A84" i="22"/>
  <c r="A88" i="22"/>
  <c r="A92" i="22"/>
  <c r="A96" i="22"/>
  <c r="A100" i="22"/>
  <c r="A103" i="22"/>
  <c r="A104" i="22"/>
  <c r="A108" i="22"/>
  <c r="A115" i="22"/>
  <c r="A116" i="22"/>
  <c r="A119" i="22"/>
  <c r="A120" i="22"/>
  <c r="A124" i="22"/>
  <c r="A127" i="22"/>
  <c r="A128" i="22"/>
  <c r="A132" i="22"/>
  <c r="A136" i="22"/>
  <c r="A139" i="22"/>
  <c r="A140" i="22"/>
  <c r="A144" i="22"/>
  <c r="A148" i="22"/>
  <c r="A151" i="22"/>
  <c r="A152" i="22"/>
  <c r="A156" i="22"/>
  <c r="A160" i="22"/>
  <c r="A164" i="22"/>
  <c r="A167" i="22"/>
  <c r="A168" i="22"/>
  <c r="A171" i="22"/>
  <c r="A172" i="22"/>
  <c r="A175" i="22"/>
  <c r="A176" i="22"/>
  <c r="A180" i="22"/>
  <c r="A183" i="22"/>
  <c r="A184" i="22"/>
  <c r="A187" i="22"/>
  <c r="A188" i="22"/>
  <c r="A191" i="22"/>
  <c r="A192" i="22"/>
  <c r="A196" i="22"/>
  <c r="A200" i="22"/>
  <c r="A203" i="22"/>
  <c r="A204" i="22"/>
  <c r="A207" i="22"/>
  <c r="A208" i="22"/>
  <c r="A211" i="22"/>
  <c r="A212" i="22"/>
  <c r="A216" i="22"/>
  <c r="A220" i="22"/>
  <c r="A224" i="22"/>
  <c r="A231" i="22"/>
  <c r="A232" i="22"/>
  <c r="A235" i="22"/>
  <c r="A236" i="22"/>
  <c r="A239" i="22"/>
  <c r="A240" i="22"/>
  <c r="A243" i="22"/>
  <c r="A244" i="22"/>
  <c r="A247" i="22"/>
  <c r="A248" i="22"/>
  <c r="A252" i="22"/>
  <c r="A255" i="22"/>
  <c r="A256" i="22"/>
  <c r="B3" i="22"/>
  <c r="B42" i="22"/>
  <c r="B58" i="22"/>
  <c r="B59" i="22"/>
  <c r="B95" i="22"/>
  <c r="B118" i="22"/>
  <c r="B130" i="22"/>
  <c r="B162" i="22"/>
  <c r="B163" i="22"/>
  <c r="B194" i="22"/>
  <c r="B195" i="22"/>
  <c r="B222" i="22"/>
  <c r="B246" i="22"/>
  <c r="B247" i="22"/>
  <c r="B258" i="22"/>
  <c r="A5" i="23"/>
  <c r="M12" i="15"/>
  <c r="A38" i="22"/>
  <c r="A102" i="22"/>
  <c r="A170" i="22"/>
  <c r="A246" i="22"/>
  <c r="C15" i="16"/>
  <c r="A11" i="22"/>
  <c r="A23" i="22"/>
  <c r="A35" i="22"/>
  <c r="A43" i="22"/>
  <c r="A51" i="22"/>
  <c r="A59" i="22"/>
  <c r="A60" i="22"/>
  <c r="A71" i="22"/>
  <c r="A99" i="22"/>
  <c r="A107" i="22"/>
  <c r="A123" i="22"/>
  <c r="A131" i="22"/>
  <c r="A155" i="22"/>
  <c r="A163" i="22"/>
  <c r="A199" i="22"/>
  <c r="A219" i="22"/>
  <c r="A227" i="22"/>
  <c r="A228" i="22"/>
  <c r="A251" i="22"/>
  <c r="B34" i="22"/>
  <c r="B78" i="22"/>
  <c r="B170" i="22"/>
  <c r="A12" i="23"/>
  <c r="B4" i="23"/>
  <c r="A9" i="22"/>
  <c r="A21" i="22"/>
  <c r="A49" i="22"/>
  <c r="A57" i="22"/>
  <c r="A81" i="22"/>
  <c r="A89" i="22"/>
  <c r="A125" i="22"/>
  <c r="A137" i="22"/>
  <c r="A173" i="22"/>
  <c r="A178" i="22"/>
  <c r="A213" i="22"/>
  <c r="A218" i="22"/>
  <c r="B26" i="22"/>
  <c r="B30" i="22"/>
  <c r="A14" i="23"/>
  <c r="A18" i="23"/>
  <c r="B2" i="23"/>
  <c r="B6" i="23"/>
  <c r="B10" i="23"/>
  <c r="B14" i="23"/>
  <c r="B18" i="23"/>
  <c r="A95" i="22"/>
  <c r="A135" i="22"/>
  <c r="A159" i="22"/>
  <c r="A195" i="22"/>
  <c r="A223" i="22"/>
  <c r="B5" i="22"/>
  <c r="B8" i="22"/>
  <c r="B9" i="22"/>
  <c r="B13" i="22"/>
  <c r="B16" i="22"/>
  <c r="B17" i="22"/>
  <c r="B20" i="22"/>
  <c r="B24" i="22"/>
  <c r="B28" i="22"/>
  <c r="B32" i="22"/>
  <c r="B36" i="22"/>
  <c r="B41" i="22"/>
  <c r="B44" i="22"/>
  <c r="B45" i="22"/>
  <c r="B48" i="22"/>
  <c r="B52" i="22"/>
  <c r="B53" i="22"/>
  <c r="B56" i="22"/>
  <c r="B57" i="22"/>
  <c r="B60" i="22"/>
  <c r="B61" i="22"/>
  <c r="B65" i="22"/>
  <c r="B69" i="22"/>
  <c r="B72" i="22"/>
  <c r="B73" i="22"/>
  <c r="B77" i="22"/>
  <c r="B80" i="22"/>
  <c r="B81" i="22"/>
  <c r="B84" i="22"/>
  <c r="B88" i="22"/>
  <c r="B89" i="22"/>
  <c r="B92" i="22"/>
  <c r="B93" i="22"/>
  <c r="B97" i="22"/>
  <c r="B105" i="22"/>
  <c r="B108" i="22"/>
  <c r="B109" i="22"/>
  <c r="B112" i="22"/>
  <c r="B116" i="22"/>
  <c r="B117" i="22"/>
  <c r="B120" i="22"/>
  <c r="B124" i="22"/>
  <c r="B129" i="22"/>
  <c r="B137" i="22"/>
  <c r="B140" i="22"/>
  <c r="B141" i="22"/>
  <c r="B144" i="22"/>
  <c r="B148" i="22"/>
  <c r="B149" i="22"/>
  <c r="B152" i="22"/>
  <c r="B156" i="22"/>
  <c r="B161" i="22"/>
  <c r="B169" i="22"/>
  <c r="B172" i="22"/>
  <c r="B173" i="22"/>
  <c r="B176" i="22"/>
  <c r="B180" i="22"/>
  <c r="B181" i="22"/>
  <c r="B184" i="22"/>
  <c r="B188" i="22"/>
  <c r="B193" i="22"/>
  <c r="B201" i="22"/>
  <c r="B204" i="22"/>
  <c r="B205" i="22"/>
  <c r="B208" i="22"/>
  <c r="B212" i="22"/>
  <c r="B213" i="22"/>
  <c r="B216" i="22"/>
  <c r="B220" i="22"/>
  <c r="B225" i="22"/>
  <c r="B233" i="22"/>
  <c r="B236" i="22"/>
  <c r="B237" i="22"/>
  <c r="B240" i="22"/>
  <c r="B241" i="22"/>
  <c r="B245" i="22"/>
  <c r="B249" i="22"/>
  <c r="B252" i="22"/>
  <c r="B253" i="22"/>
  <c r="B256" i="22"/>
  <c r="B257" i="22"/>
  <c r="A13" i="22"/>
  <c r="A69" i="22"/>
  <c r="A77" i="22"/>
  <c r="A217" i="22"/>
  <c r="A225" i="22"/>
  <c r="B20" i="23"/>
  <c r="A2" i="23"/>
  <c r="A3" i="23"/>
  <c r="B3" i="23"/>
  <c r="A6" i="23"/>
  <c r="A7" i="23"/>
  <c r="B7" i="23"/>
  <c r="A10" i="23"/>
  <c r="A11" i="23"/>
  <c r="B11" i="23"/>
  <c r="A15" i="23"/>
  <c r="B15" i="23"/>
  <c r="A16" i="23"/>
  <c r="A19" i="23"/>
  <c r="B19" i="23"/>
  <c r="B4" i="22"/>
  <c r="B12" i="22"/>
  <c r="A15" i="22"/>
  <c r="A17" i="22"/>
  <c r="B21" i="22"/>
  <c r="B25" i="22"/>
  <c r="B29" i="22"/>
  <c r="A31" i="22"/>
  <c r="B33" i="22"/>
  <c r="B37" i="22"/>
  <c r="B40" i="22"/>
  <c r="A41" i="22"/>
  <c r="B49" i="22"/>
  <c r="A55" i="22"/>
  <c r="B64" i="22"/>
  <c r="B68" i="22"/>
  <c r="B76" i="22"/>
  <c r="A83" i="22"/>
  <c r="B85" i="22"/>
  <c r="A87" i="22"/>
  <c r="A91" i="22"/>
  <c r="B96" i="22"/>
  <c r="B100" i="22"/>
  <c r="B101" i="22"/>
  <c r="B104" i="22"/>
  <c r="A111" i="22"/>
  <c r="A112" i="22"/>
  <c r="B113" i="22"/>
  <c r="B121" i="22"/>
  <c r="B125" i="22"/>
  <c r="B128" i="22"/>
  <c r="B132" i="22"/>
  <c r="B133" i="22"/>
  <c r="B136" i="22"/>
  <c r="B142" i="22"/>
  <c r="A143" i="22"/>
  <c r="B145" i="22"/>
  <c r="A147" i="22"/>
  <c r="B153" i="22"/>
  <c r="B157" i="22"/>
  <c r="B160" i="22"/>
  <c r="B164" i="22"/>
  <c r="B165" i="22"/>
  <c r="B168" i="22"/>
  <c r="B177" i="22"/>
  <c r="A179" i="22"/>
  <c r="B185" i="22"/>
  <c r="B189" i="22"/>
  <c r="B192" i="22"/>
  <c r="B196" i="22"/>
  <c r="B197" i="22"/>
  <c r="B200" i="22"/>
  <c r="B209" i="22"/>
  <c r="A215" i="22"/>
  <c r="B217" i="22"/>
  <c r="B221" i="22"/>
  <c r="B224" i="22"/>
  <c r="B226" i="22"/>
  <c r="B228" i="22"/>
  <c r="B229" i="22"/>
  <c r="B230" i="22"/>
  <c r="B232" i="22"/>
  <c r="B244" i="22"/>
  <c r="B248" i="22"/>
  <c r="A258" i="22"/>
  <c r="D6" i="16"/>
  <c r="A2" i="20"/>
  <c r="B2" i="20"/>
  <c r="A3" i="20"/>
  <c r="B3" i="20"/>
  <c r="A4" i="20"/>
  <c r="B4" i="20"/>
  <c r="A5" i="20"/>
  <c r="B5" i="20"/>
  <c r="A6" i="20"/>
  <c r="B6" i="20"/>
  <c r="A7" i="20"/>
  <c r="B7" i="20"/>
  <c r="A8" i="20"/>
  <c r="B8" i="20"/>
  <c r="A9" i="20"/>
  <c r="B9" i="20"/>
  <c r="A10" i="20"/>
  <c r="B10" i="20"/>
  <c r="A11" i="20"/>
  <c r="B11" i="20"/>
  <c r="A12" i="20"/>
  <c r="B12" i="20"/>
  <c r="A13" i="20"/>
  <c r="B13" i="20"/>
  <c r="A14" i="20"/>
  <c r="B14" i="20"/>
  <c r="A15" i="20"/>
  <c r="B15" i="20"/>
  <c r="A16" i="20"/>
  <c r="B16" i="20"/>
  <c r="A17" i="20"/>
  <c r="B17" i="20"/>
  <c r="A18" i="20"/>
  <c r="B18" i="20"/>
  <c r="A19" i="20"/>
  <c r="B19" i="20"/>
  <c r="A20" i="20"/>
  <c r="B20" i="20"/>
  <c r="A21" i="20"/>
  <c r="B21" i="20"/>
  <c r="A22" i="20"/>
  <c r="B22" i="20"/>
  <c r="A23" i="20"/>
  <c r="B23" i="20"/>
  <c r="A24" i="20"/>
  <c r="B24" i="20"/>
  <c r="A25" i="20"/>
  <c r="B25" i="20"/>
  <c r="A26" i="20"/>
  <c r="B26" i="20"/>
  <c r="A27" i="20"/>
  <c r="B27" i="20"/>
  <c r="A28" i="20"/>
  <c r="B28" i="20"/>
  <c r="A29" i="20"/>
  <c r="B29" i="20"/>
  <c r="A30" i="20"/>
  <c r="B30" i="20"/>
  <c r="A31" i="20"/>
  <c r="B31" i="20"/>
  <c r="A32" i="20"/>
  <c r="B32" i="20"/>
  <c r="A33" i="20"/>
  <c r="B33" i="20"/>
  <c r="C14" i="16"/>
  <c r="L12" i="15" l="1"/>
  <c r="K14" i="15"/>
  <c r="D8" i="16"/>
  <c r="L13" i="15"/>
  <c r="L14" i="15"/>
  <c r="K12" i="15"/>
  <c r="K13" i="15"/>
  <c r="D7" i="16"/>
  <c r="D5" i="16"/>
</calcChain>
</file>

<file path=xl/connections.xml><?xml version="1.0" encoding="utf-8"?>
<connections xmlns="http://schemas.openxmlformats.org/spreadsheetml/2006/main">
  <connection id="1" keepAlive="1" name="Query - bittrex" description="Connection to the 'bittrex' query in the workbook." type="5" refreshedVersion="6" background="1" saveData="1">
    <dbPr connection="Provider=Microsoft.Mashup.OleDb.1;Data Source=$Workbook$;Location=bittrex;Extended Properties=&quot;&quot;" command="SELECT * FROM [bittrex]"/>
  </connection>
  <connection id="2" keepAlive="1" name="Query - bx" description="Connection to the 'bx' query in the workbook." type="5" refreshedVersion="6" background="1" saveData="1">
    <dbPr connection="Provider=Microsoft.Mashup.OleDb.1;Data Source=$Workbook$;Location=bx;Extended Properties=&quot;&quot;" command="SELECT * FROM [bx]"/>
  </connection>
  <connection id="3" keepAlive="1" name="Query - cryptowat" description="Connection to the 'cryptowat' query in the workbook." type="5" refreshedVersion="6" background="1" saveData="1">
    <dbPr connection="Provider=Microsoft.Mashup.OleDb.1;Data Source=$Workbook$;Location=cryptowat;Extended Properties=&quot;&quot;" command="SELECT * FROM [cryptowat]"/>
  </connection>
  <connection id="4" keepAlive="1" name="Query - Query1" description="Connection to the 'Query1' query in the workbook." type="5" refreshedVersion="6" background="1" saveData="1">
    <dbPr connection="Provider=Microsoft.Mashup.OleDb.1;Data Source=$Workbook$;Location=Query1;Extended Properties=&quot;&quot;" command="SELECT * FROM [Query1]"/>
  </connection>
  <connection id="5" keepAlive="1" name="Query - thb" description="Connection to the 'thb' query in the workbook." type="5" refreshedVersion="6" background="1" saveData="1">
    <dbPr connection="Provider=Microsoft.Mashup.OleDb.1;Data Source=$Workbook$;Location=thb;Extended Properties=&quot;&quot;" command="SELECT * FROM [thb]"/>
  </connection>
</connections>
</file>

<file path=xl/sharedStrings.xml><?xml version="1.0" encoding="utf-8"?>
<sst xmlns="http://schemas.openxmlformats.org/spreadsheetml/2006/main" count="184" uniqueCount="107">
  <si>
    <t>Licensed under the Apache License, Version 2.0 (the "License");</t>
  </si>
  <si>
    <t>you may not use this file except in compliance with the License.</t>
  </si>
  <si>
    <t>You may obtain a copy of the License at</t>
  </si>
  <si>
    <t xml:space="preserve">    http://www.apache.org/licenses/LICENSE-2.0</t>
  </si>
  <si>
    <t>Unless required by applicable law or agreed to in writing, software</t>
  </si>
  <si>
    <t>distributed under the License is distributed on an "AS IS" BASIS,</t>
  </si>
  <si>
    <t>WITHOUT WARRANTIES OR CONDITIONS OF ANY KIND, either express or implied.</t>
  </si>
  <si>
    <t>See the License for the specific language governing permissions and</t>
  </si>
  <si>
    <t>limitations under the License.</t>
  </si>
  <si>
    <t>Copyright 2017 Vorapoap Lohwongwatana</t>
  </si>
  <si>
    <t>Column1</t>
  </si>
  <si>
    <t>BTC:</t>
  </si>
  <si>
    <t>13SsoAUNv1KobhnDSZytLo71NHAGu9XxUd</t>
  </si>
  <si>
    <t>OMG:</t>
  </si>
  <si>
    <t>0x1E0d07890Cb550F18eE6B80dC5739CFe776C72b5</t>
  </si>
  <si>
    <t>ETH:</t>
  </si>
  <si>
    <t>Donations Welcome</t>
  </si>
  <si>
    <t>BITFINEX</t>
  </si>
  <si>
    <t>Ticker</t>
  </si>
  <si>
    <t>Source</t>
  </si>
  <si>
    <t>Bitfinex</t>
  </si>
  <si>
    <t>bitfinex</t>
  </si>
  <si>
    <t>poloniex</t>
  </si>
  <si>
    <t>bccbtc</t>
  </si>
  <si>
    <t>bccusd</t>
  </si>
  <si>
    <t>bchbtc</t>
  </si>
  <si>
    <t>bcheth</t>
  </si>
  <si>
    <t>bchusd</t>
  </si>
  <si>
    <t>bcubtc</t>
  </si>
  <si>
    <t>bcuusd</t>
  </si>
  <si>
    <t>bfxusd</t>
  </si>
  <si>
    <t>btcusd</t>
  </si>
  <si>
    <t>btsbtc</t>
  </si>
  <si>
    <t>daobtc</t>
  </si>
  <si>
    <t>daoeth</t>
  </si>
  <si>
    <t>dashbtc</t>
  </si>
  <si>
    <t>dashusd</t>
  </si>
  <si>
    <t>dgbbtc</t>
  </si>
  <si>
    <t>eosbtc</t>
  </si>
  <si>
    <t>eoseth</t>
  </si>
  <si>
    <t>eosusd</t>
  </si>
  <si>
    <t>etcbtc</t>
  </si>
  <si>
    <t>etceth</t>
  </si>
  <si>
    <t>etcusd</t>
  </si>
  <si>
    <t>ethbtc</t>
  </si>
  <si>
    <t>ethusd</t>
  </si>
  <si>
    <t>fctbtc</t>
  </si>
  <si>
    <t>gnobtc</t>
  </si>
  <si>
    <t>gnoeth</t>
  </si>
  <si>
    <t>gntbtc</t>
  </si>
  <si>
    <t>iotbtc</t>
  </si>
  <si>
    <t>ioteth</t>
  </si>
  <si>
    <t>iotusd</t>
  </si>
  <si>
    <t>lskbtc</t>
  </si>
  <si>
    <t>lsketh</t>
  </si>
  <si>
    <t>ltcbtc</t>
  </si>
  <si>
    <t>ltcusd</t>
  </si>
  <si>
    <t>ltcxmr</t>
  </si>
  <si>
    <t>maidbtc</t>
  </si>
  <si>
    <t>navbtc</t>
  </si>
  <si>
    <t>nxtbtc</t>
  </si>
  <si>
    <t>nxtusd</t>
  </si>
  <si>
    <t>nxtxmr</t>
  </si>
  <si>
    <t>omgbtc</t>
  </si>
  <si>
    <t>omgeth</t>
  </si>
  <si>
    <t>omgusd</t>
  </si>
  <si>
    <t>repbtc</t>
  </si>
  <si>
    <t>repeth</t>
  </si>
  <si>
    <t>repusd</t>
  </si>
  <si>
    <t>sdcbtc</t>
  </si>
  <si>
    <t>stratbtc</t>
  </si>
  <si>
    <t>strbtc</t>
  </si>
  <si>
    <t>strusd</t>
  </si>
  <si>
    <t>xmrbtc</t>
  </si>
  <si>
    <t>xmrusd</t>
  </si>
  <si>
    <t>xrpbtc</t>
  </si>
  <si>
    <t>xrpusd</t>
  </si>
  <si>
    <t>zecbtc</t>
  </si>
  <si>
    <t>zeceth</t>
  </si>
  <si>
    <t>zecusd</t>
  </si>
  <si>
    <t>zecxmr</t>
  </si>
  <si>
    <t>Rate</t>
  </si>
  <si>
    <t>Invert</t>
  </si>
  <si>
    <t>Table Name</t>
  </si>
  <si>
    <t>USDTHB</t>
  </si>
  <si>
    <t>Fiat Currency</t>
  </si>
  <si>
    <t>EURTHB</t>
  </si>
  <si>
    <t>Dropdown list =&gt;</t>
  </si>
  <si>
    <t>FullTicker</t>
  </si>
  <si>
    <t>CRYPTOWAT</t>
  </si>
  <si>
    <t>POLONIEX</t>
  </si>
  <si>
    <t>BITFINEX_PAIRS</t>
  </si>
  <si>
    <t>POLONIEX_PAIRS</t>
  </si>
  <si>
    <t>(Data Validation)</t>
  </si>
  <si>
    <t>BITTREX_PAIRS</t>
  </si>
  <si>
    <t>btcomg</t>
  </si>
  <si>
    <t>BX_PAIRS</t>
  </si>
  <si>
    <t>btcthb</t>
  </si>
  <si>
    <t>VLOOKUP</t>
  </si>
  <si>
    <t>Bx</t>
  </si>
  <si>
    <t>Exchange Rate</t>
  </si>
  <si>
    <t>Bitcoin</t>
  </si>
  <si>
    <t>OmiseGo</t>
  </si>
  <si>
    <t>Ethereum</t>
  </si>
  <si>
    <t>Cryptowat API Limit</t>
  </si>
  <si>
    <t xml:space="preserve">Right click to copy above button and paste anywhere in your worksheet </t>
  </si>
  <si>
    <t>AUTO CRYPTO CURRENCY DATA - BX, BITFINEX, POLONIEX, BITTREX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</si>
</sst>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91" formatCode="#,##0.0000"/>
  </numFmts>
  <fonts count="11">
    <font>
      <sz val="11"/>
      <color theme="1"/>
      <name val="Tahoma"/>
      <family val="2"/>
      <charset val="222"/>
      <scheme val="minor"/>
    </font>
    <font>
      <sz val="11"/>
      <color rgb="FF006100"/>
      <name val="Tahoma"/>
      <family val="2"/>
      <charset val="222"/>
      <scheme val="minor"/>
    </font>
    <font>
      <i/>
      <sz val="11"/>
      <color rgb="FF7F7F7F"/>
      <name val="Tahoma"/>
      <family val="2"/>
      <charset val="222"/>
      <scheme val="minor"/>
    </font>
    <font>
      <b/>
      <sz val="11"/>
      <color theme="1"/>
      <name val="Tahoma"/>
      <family val="2"/>
      <charset val="222"/>
      <scheme val="minor"/>
    </font>
    <font>
      <sz val="11"/>
      <color theme="0"/>
      <name val="Tahoma"/>
      <family val="2"/>
      <charset val="222"/>
      <scheme val="minor"/>
    </font>
    <font>
      <b/>
      <sz val="11"/>
      <color rgb="FF006100"/>
      <name val="Tahoma"/>
      <family val="2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sz val="11"/>
      <color rgb="FF333333"/>
      <name val="Consolas"/>
      <family val="3"/>
    </font>
    <font>
      <b/>
      <sz val="11"/>
      <color rgb="FF333333"/>
      <name val="Consolas"/>
      <family val="3"/>
      <charset val="222"/>
    </font>
    <font>
      <b/>
      <sz val="11"/>
      <color theme="1"/>
      <name val="Tahoma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 tint="0.79998168889431442"/>
      </top>
      <bottom style="thin">
        <color theme="4" tint="0.79998168889431442"/>
      </bottom>
      <diagonal/>
    </border>
    <border>
      <left/>
      <right/>
      <top style="thin">
        <color theme="4" tint="0.79998168889431442"/>
      </top>
      <bottom/>
      <diagonal/>
    </border>
    <border>
      <left/>
      <right/>
      <top style="thin">
        <color theme="4" tint="0.59999389629810485"/>
      </top>
      <bottom style="thin">
        <color theme="4" tint="0.59999389629810485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applyNumberFormat="1"/>
    <xf numFmtId="0" fontId="3" fillId="0" borderId="0" xfId="0" applyFont="1"/>
    <xf numFmtId="0" fontId="0" fillId="0" borderId="0" xfId="0" applyFont="1"/>
    <xf numFmtId="0" fontId="0" fillId="0" borderId="1" xfId="0" applyFont="1" applyBorder="1" applyAlignment="1">
      <alignment vertical="center"/>
    </xf>
    <xf numFmtId="0" fontId="5" fillId="2" borderId="0" xfId="1" applyFont="1"/>
    <xf numFmtId="0" fontId="6" fillId="0" borderId="0" xfId="0" applyFont="1"/>
    <xf numFmtId="0" fontId="7" fillId="0" borderId="0" xfId="0" applyFont="1"/>
    <xf numFmtId="0" fontId="8" fillId="0" borderId="1" xfId="0" applyFont="1" applyBorder="1" applyAlignment="1">
      <alignment vertical="center"/>
    </xf>
    <xf numFmtId="0" fontId="9" fillId="0" borderId="1" xfId="0" applyFont="1" applyBorder="1" applyAlignment="1">
      <alignment vertical="center"/>
    </xf>
    <xf numFmtId="0" fontId="3" fillId="0" borderId="1" xfId="0" applyFont="1" applyBorder="1" applyAlignment="1">
      <alignment vertical="center"/>
    </xf>
    <xf numFmtId="0" fontId="10" fillId="0" borderId="0" xfId="0" applyFont="1"/>
    <xf numFmtId="19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3" borderId="10" xfId="0" applyFont="1" applyFill="1" applyBorder="1" applyAlignment="1">
      <alignment horizontal="left"/>
    </xf>
    <xf numFmtId="0" fontId="0" fillId="3" borderId="10" xfId="0" applyNumberFormat="1" applyFont="1" applyFill="1" applyBorder="1"/>
    <xf numFmtId="0" fontId="0" fillId="0" borderId="8" xfId="0" applyFont="1" applyBorder="1" applyAlignment="1">
      <alignment horizontal="left"/>
    </xf>
    <xf numFmtId="0" fontId="0" fillId="0" borderId="8" xfId="0" applyNumberFormat="1" applyFont="1" applyBorder="1"/>
    <xf numFmtId="0" fontId="0" fillId="0" borderId="9" xfId="0" applyFont="1" applyBorder="1" applyAlignment="1">
      <alignment horizontal="left"/>
    </xf>
    <xf numFmtId="0" fontId="0" fillId="0" borderId="9" xfId="0" applyNumberFormat="1" applyFont="1" applyBorder="1"/>
    <xf numFmtId="0" fontId="0" fillId="0" borderId="0" xfId="0" applyBorder="1"/>
    <xf numFmtId="0" fontId="10" fillId="0" borderId="2" xfId="0" applyFont="1" applyBorder="1"/>
    <xf numFmtId="0" fontId="10" fillId="0" borderId="11" xfId="0" applyFont="1" applyBorder="1"/>
    <xf numFmtId="0" fontId="10" fillId="0" borderId="3" xfId="0" applyFont="1" applyBorder="1"/>
    <xf numFmtId="0" fontId="10" fillId="0" borderId="4" xfId="0" applyFont="1" applyBorder="1"/>
    <xf numFmtId="0" fontId="10" fillId="0" borderId="0" xfId="0" applyNumberFormat="1" applyFont="1" applyBorder="1"/>
    <xf numFmtId="0" fontId="10" fillId="0" borderId="0" xfId="0" applyFont="1" applyBorder="1"/>
    <xf numFmtId="191" fontId="10" fillId="0" borderId="3" xfId="0" applyNumberFormat="1" applyFont="1" applyBorder="1"/>
    <xf numFmtId="0" fontId="10" fillId="0" borderId="4" xfId="0" applyNumberFormat="1" applyFont="1" applyBorder="1"/>
    <xf numFmtId="191" fontId="10" fillId="0" borderId="5" xfId="0" applyNumberFormat="1" applyFont="1" applyBorder="1"/>
    <xf numFmtId="0" fontId="10" fillId="0" borderId="6" xfId="0" applyNumberFormat="1" applyFont="1" applyBorder="1"/>
    <xf numFmtId="0" fontId="10" fillId="0" borderId="12" xfId="0" applyNumberFormat="1" applyFont="1" applyBorder="1"/>
    <xf numFmtId="191" fontId="10" fillId="0" borderId="7" xfId="0" applyNumberFormat="1" applyFont="1" applyBorder="1"/>
    <xf numFmtId="0" fontId="0" fillId="0" borderId="13" xfId="0" applyBorder="1"/>
    <xf numFmtId="0" fontId="3" fillId="0" borderId="4" xfId="0" applyNumberFormat="1" applyFont="1" applyBorder="1"/>
    <xf numFmtId="0" fontId="3" fillId="0" borderId="0" xfId="0" applyNumberFormat="1" applyFont="1"/>
    <xf numFmtId="0" fontId="10" fillId="0" borderId="5" xfId="0" applyNumberFormat="1" applyFont="1" applyBorder="1"/>
    <xf numFmtId="0" fontId="10" fillId="0" borderId="7" xfId="0" applyNumberFormat="1" applyFont="1" applyBorder="1"/>
    <xf numFmtId="0" fontId="3" fillId="0" borderId="5" xfId="0" applyNumberFormat="1" applyFont="1" applyBorder="1"/>
    <xf numFmtId="0" fontId="4" fillId="4" borderId="0" xfId="0" applyFont="1" applyFill="1"/>
    <xf numFmtId="0" fontId="2" fillId="0" borderId="0" xfId="2"/>
    <xf numFmtId="0" fontId="5" fillId="2" borderId="0" xfId="1" applyFont="1" applyBorder="1" applyAlignment="1">
      <alignment vertical="center"/>
    </xf>
    <xf numFmtId="0" fontId="5" fillId="2" borderId="0" xfId="1" applyFont="1" applyAlignment="1">
      <alignment horizontal="center"/>
    </xf>
    <xf numFmtId="0" fontId="5" fillId="2" borderId="13" xfId="1" applyFont="1" applyBorder="1"/>
  </cellXfs>
  <cellStyles count="3">
    <cellStyle name="Explanatory Text" xfId="2" builtinId="53"/>
    <cellStyle name="Good" xfId="1" builtinId="26"/>
    <cellStyle name="Normal" xfId="0" builtinId="0"/>
  </cellStyles>
  <dxfs count="22">
    <dxf>
      <font>
        <b/>
      </font>
      <numFmt numFmtId="0" formatCode="General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/>
      </font>
      <numFmt numFmtId="0" formatCode="General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/>
      </font>
      <numFmt numFmtId="0" formatCode="General"/>
      <border diagonalUp="0" diagonalDown="0">
        <left style="medium">
          <color indexed="64"/>
        </left>
        <right/>
        <top/>
        <bottom style="medium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scheme val="minor"/>
      </font>
      <numFmt numFmtId="191" formatCode="#,##0.000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/>
      </font>
      <numFmt numFmtId="0" formatCode="General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font>
        <b/>
      </font>
      <numFmt numFmtId="191" formatCode="#,##0.000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/>
      </font>
      <numFmt numFmtId="0" formatCode="General"/>
    </dxf>
    <dxf>
      <font>
        <b/>
      </font>
      <numFmt numFmtId="0" formatCode="General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charset val="222"/>
        <scheme val="minor"/>
      </font>
      <numFmt numFmtId="0" formatCode="General"/>
      <border diagonalUp="0" diagonalDown="0">
        <left/>
        <right/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charset val="222"/>
        <scheme val="minor"/>
      </font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FFFF"/>
      <color rgb="FFCC99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617220</xdr:colOff>
      <xdr:row>3</xdr:row>
      <xdr:rowOff>160020</xdr:rowOff>
    </xdr:from>
    <xdr:to>
      <xdr:col>14</xdr:col>
      <xdr:colOff>68580</xdr:colOff>
      <xdr:row>8</xdr:row>
      <xdr:rowOff>68580</xdr:rowOff>
    </xdr:to>
    <xdr:sp macro="[0]!refresh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90AB4DD-1089-4892-BDFE-DC57668A80E2}"/>
            </a:ext>
          </a:extLst>
        </xdr:cNvPr>
        <xdr:cNvSpPr/>
      </xdr:nvSpPr>
      <xdr:spPr>
        <a:xfrm>
          <a:off x="5981700" y="693420"/>
          <a:ext cx="4107180" cy="853440"/>
        </a:xfrm>
        <a:prstGeom prst="roundRect">
          <a:avLst/>
        </a:prstGeom>
        <a:ln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600"/>
            <a:t>CLICK TO REFRESH</a:t>
          </a:r>
          <a:endParaRPr lang="th-TH" sz="36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8</xdr:col>
      <xdr:colOff>342900</xdr:colOff>
      <xdr:row>5</xdr:row>
      <xdr:rowOff>7620</xdr:rowOff>
    </xdr:to>
    <xdr:sp macro="[0]!refresh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43CE2B-0FA7-4F48-ADE8-26BED215D715}"/>
            </a:ext>
          </a:extLst>
        </xdr:cNvPr>
        <xdr:cNvSpPr/>
      </xdr:nvSpPr>
      <xdr:spPr>
        <a:xfrm>
          <a:off x="5090160" y="350520"/>
          <a:ext cx="2354580" cy="533400"/>
        </a:xfrm>
        <a:prstGeom prst="roundRect">
          <a:avLst/>
        </a:prstGeom>
        <a:ln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REFRESH BUTTON</a:t>
          </a:r>
          <a:endParaRPr lang="th-TH" sz="20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วรภพ โล่ห์วงศ์วัฒน" refreshedDate="42985.680387731481" createdVersion="6" refreshedVersion="6" minRefreshableVersion="3" recordCount="239">
  <cacheSource type="worksheet">
    <worksheetSource name="CRYPTOWAT"/>
  </cacheSource>
  <cacheFields count="4">
    <cacheField name="Name" numFmtId="0">
      <sharedItems/>
    </cacheField>
    <cacheField name="Value" numFmtId="0">
      <sharedItems containsSemiMixedTypes="0" containsString="0" containsNumber="1" minValue="0" maxValue="60718804"/>
    </cacheField>
    <cacheField name="Source" numFmtId="0">
      <sharedItems count="18">
        <s v="bitfinex"/>
        <s v="bitflyer"/>
        <s v="bithumb"/>
        <s v="bitmex"/>
        <s v="bitsquare"/>
        <s v="bitstamp"/>
        <s v="bitvc"/>
        <s v="btc-china"/>
        <s v="cexio"/>
        <s v="gdax"/>
        <s v="gemini"/>
        <s v="huobi"/>
        <s v="kraken"/>
        <s v="luno"/>
        <s v="okcoin"/>
        <s v="poloniex"/>
        <s v="qryptos"/>
        <s v="quoine"/>
      </sharedItems>
    </cacheField>
    <cacheField name="Ticker" numFmtId="0">
      <sharedItems count="134">
        <s v="bccbtc"/>
        <s v="bccusd"/>
        <s v="bchbtc"/>
        <s v="bcheth"/>
        <s v="bchusd"/>
        <s v="bcubtc"/>
        <s v="bcuusd"/>
        <s v="bfxusd"/>
        <s v="btcusd"/>
        <s v="dashbtc"/>
        <s v="dashusd"/>
        <s v="eosbtc"/>
        <s v="eoseth"/>
        <s v="eosusd"/>
        <s v="etcbtc"/>
        <s v="etcusd"/>
        <s v="ethbtc"/>
        <s v="ethusd"/>
        <s v="iotbtc"/>
        <s v="ioteth"/>
        <s v="iotusd"/>
        <s v="ltcbtc"/>
        <s v="ltcusd"/>
        <s v="omgbtc"/>
        <s v="omgeth"/>
        <s v="omgusd"/>
        <s v="xmrbtc"/>
        <s v="xmrusd"/>
        <s v="xrpbtc"/>
        <s v="xrpusd"/>
        <s v="zecbtc"/>
        <s v="zecusd"/>
        <s v="btcfxjpy"/>
        <s v="btcjpy"/>
        <s v="btcjpy-biweekly-futures"/>
        <s v="btcjpy-weekly-futures"/>
        <s v="bchkrw"/>
        <s v="btckrw"/>
        <s v="dashkrw"/>
        <s v="etckrw"/>
        <s v="ethkrw"/>
        <s v="ltckrw"/>
        <s v="xmrkrw"/>
        <s v="xrpkrw"/>
        <s v="xbt-monthly-futures"/>
        <s v="xbt-perpetual-futures"/>
        <s v="btcaud"/>
        <s v="btceur"/>
        <s v="etheur"/>
        <s v="eurusd"/>
        <s v="ltceur"/>
        <s v="xrpeur"/>
        <s v="btccny-quarterly-futures"/>
        <s v="btccny-weekly-futures"/>
        <s v="ltccny-quarterly-futures"/>
        <s v="ltccny-weekly-futures"/>
        <s v="btccny"/>
        <s v="ltccny"/>
        <s v="btcgbp"/>
        <s v="bcheur"/>
        <s v="btccad"/>
        <s v="dasheur"/>
        <s v="dogebtc"/>
        <s v="eoseur"/>
        <s v="etceth"/>
        <s v="etceur"/>
        <s v="ethcad"/>
        <s v="ethgbp"/>
        <s v="ethjpy"/>
        <s v="gnobtc"/>
        <s v="gnoeth"/>
        <s v="gnoeur"/>
        <s v="gnousd"/>
        <s v="icnbtc"/>
        <s v="icneth"/>
        <s v="ltccad"/>
        <s v="mlnbtc"/>
        <s v="mlneth"/>
        <s v="repbtc"/>
        <s v="repcad"/>
        <s v="repeth"/>
        <s v="repeur"/>
        <s v="repjpy"/>
        <s v="repusd"/>
        <s v="strbtc"/>
        <s v="streur"/>
        <s v="strusd"/>
        <s v="usdtusd"/>
        <s v="xmreur"/>
        <s v="xrpcad"/>
        <s v="xrpjpy"/>
        <s v="zeccad"/>
        <s v="zeceur"/>
        <s v="zecgbp"/>
        <s v="zecjpy"/>
        <s v="btczar"/>
        <s v="btcusd-biweekly-futures"/>
        <s v="btcusd-quarterly-futures"/>
        <s v="btcusd-weekly-futures"/>
        <s v="ltcusd-biweekly-futures"/>
        <s v="ltcusd-quarterly-futures"/>
        <s v="ltcusd-weekly-futures"/>
        <s v="btsbtc"/>
        <s v="daobtc"/>
        <s v="daoeth"/>
        <s v="dgbbtc"/>
        <s v="fctbtc"/>
        <s v="gntbtc"/>
        <s v="lskbtc"/>
        <s v="lsketh"/>
        <s v="ltcxmr"/>
        <s v="maidbtc"/>
        <s v="navbtc"/>
        <s v="nxtbtc"/>
        <s v="nxtusd"/>
        <s v="nxtxmr"/>
        <s v="sdcbtc"/>
        <s v="stratbtc"/>
        <s v="zeceth"/>
        <s v="zecxmr"/>
        <s v="bchjpy"/>
        <s v="bchsgd"/>
        <s v="btchkd"/>
        <s v="btcidr"/>
        <s v="btcinr"/>
        <s v="btcphp"/>
        <s v="btcsgd"/>
        <s v="ethaud"/>
        <s v="ethcny"/>
        <s v="ethhkd"/>
        <s v="ethidr"/>
        <s v="ethinr"/>
        <s v="ethphp"/>
        <s v="ethsg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39">
  <r>
    <s v="bitfinex:bccbtc"/>
    <n v="0.87990000000000002"/>
    <x v="0"/>
    <x v="0"/>
  </r>
  <r>
    <s v="bitfinex:bccusd"/>
    <n v="4049.9"/>
    <x v="0"/>
    <x v="1"/>
  </r>
  <r>
    <s v="bitfinex:bchbtc"/>
    <n v="0.15273999999999999"/>
    <x v="0"/>
    <x v="2"/>
  </r>
  <r>
    <s v="bitfinex:bcheth"/>
    <n v="2.14"/>
    <x v="0"/>
    <x v="3"/>
  </r>
  <r>
    <s v="bitfinex:bchusd"/>
    <n v="690.05"/>
    <x v="0"/>
    <x v="4"/>
  </r>
  <r>
    <s v="bitfinex:bcubtc"/>
    <n v="0.14699999999999999"/>
    <x v="0"/>
    <x v="5"/>
  </r>
  <r>
    <s v="bitfinex:bcuusd"/>
    <n v="630.02"/>
    <x v="0"/>
    <x v="6"/>
  </r>
  <r>
    <s v="bitfinex:bfxusd"/>
    <n v="0.99980000000000002"/>
    <x v="0"/>
    <x v="7"/>
  </r>
  <r>
    <s v="bitfinex:btcusd"/>
    <n v="4532.1000000000004"/>
    <x v="0"/>
    <x v="8"/>
  </r>
  <r>
    <s v="bitfinex:dashbtc"/>
    <n v="7.4066999999999994E-2"/>
    <x v="0"/>
    <x v="9"/>
  </r>
  <r>
    <s v="bitfinex:dashusd"/>
    <n v="337.56"/>
    <x v="0"/>
    <x v="10"/>
  </r>
  <r>
    <s v="bitfinex:eosbtc"/>
    <n v="1.9235000000000001E-4"/>
    <x v="0"/>
    <x v="11"/>
  </r>
  <r>
    <s v="bitfinex:eoseth"/>
    <n v="2.6689999999999999E-3"/>
    <x v="0"/>
    <x v="12"/>
  </r>
  <r>
    <s v="bitfinex:eosusd"/>
    <n v="0.87548999999999999"/>
    <x v="0"/>
    <x v="13"/>
  </r>
  <r>
    <s v="bitfinex:etcbtc"/>
    <n v="4.0588999999999998E-3"/>
    <x v="0"/>
    <x v="14"/>
  </r>
  <r>
    <s v="bitfinex:etcusd"/>
    <n v="18.428999999999998"/>
    <x v="0"/>
    <x v="15"/>
  </r>
  <r>
    <s v="bitfinex:ethbtc"/>
    <n v="7.1756E-2"/>
    <x v="0"/>
    <x v="16"/>
  </r>
  <r>
    <s v="bitfinex:ethusd"/>
    <n v="325.48"/>
    <x v="0"/>
    <x v="17"/>
  </r>
  <r>
    <s v="bitfinex:iotbtc"/>
    <n v="1.5482000000000001E-4"/>
    <x v="0"/>
    <x v="18"/>
  </r>
  <r>
    <s v="bitfinex:ioteth"/>
    <n v="2.14E-3"/>
    <x v="0"/>
    <x v="19"/>
  </r>
  <r>
    <s v="bitfinex:iotusd"/>
    <n v="0.69796999999999998"/>
    <x v="0"/>
    <x v="20"/>
  </r>
  <r>
    <s v="bitfinex:ltcbtc"/>
    <n v="1.7288999999999999E-2"/>
    <x v="0"/>
    <x v="21"/>
  </r>
  <r>
    <s v="bitfinex:ltcusd"/>
    <n v="78.378"/>
    <x v="0"/>
    <x v="22"/>
  </r>
  <r>
    <s v="bitfinex:omgbtc"/>
    <n v="2.4399999999999999E-3"/>
    <x v="0"/>
    <x v="23"/>
  </r>
  <r>
    <s v="bitfinex:omgeth"/>
    <n v="3.4100999999999999E-2"/>
    <x v="0"/>
    <x v="24"/>
  </r>
  <r>
    <s v="bitfinex:omgusd"/>
    <n v="11.15"/>
    <x v="0"/>
    <x v="25"/>
  </r>
  <r>
    <s v="bitfinex:xmrbtc"/>
    <n v="2.6075999999999998E-2"/>
    <x v="0"/>
    <x v="26"/>
  </r>
  <r>
    <s v="bitfinex:xmrusd"/>
    <n v="117.7"/>
    <x v="0"/>
    <x v="27"/>
  </r>
  <r>
    <s v="bitfinex:xrpbtc"/>
    <n v="4.905E-5"/>
    <x v="0"/>
    <x v="28"/>
  </r>
  <r>
    <s v="bitfinex:xrpusd"/>
    <n v="0.22248999999999999"/>
    <x v="0"/>
    <x v="29"/>
  </r>
  <r>
    <s v="bitfinex:zecbtc"/>
    <n v="5.2499999999999998E-2"/>
    <x v="0"/>
    <x v="30"/>
  </r>
  <r>
    <s v="bitfinex:zecusd"/>
    <n v="237.8"/>
    <x v="0"/>
    <x v="31"/>
  </r>
  <r>
    <s v="bitflyer:bchbtc"/>
    <n v="0.15229000000000001"/>
    <x v="1"/>
    <x v="2"/>
  </r>
  <r>
    <s v="bitflyer:btcfxjpy"/>
    <n v="512700"/>
    <x v="1"/>
    <x v="32"/>
  </r>
  <r>
    <s v="bitflyer:btcjpy"/>
    <n v="499900"/>
    <x v="1"/>
    <x v="33"/>
  </r>
  <r>
    <s v="bitflyer:btcjpy-biweekly-futures"/>
    <n v="499418"/>
    <x v="1"/>
    <x v="34"/>
  </r>
  <r>
    <s v="bitflyer:btcjpy-weekly-futures"/>
    <n v="497670"/>
    <x v="1"/>
    <x v="35"/>
  </r>
  <r>
    <s v="bitflyer:ethbtc"/>
    <n v="7.1499999999999994E-2"/>
    <x v="1"/>
    <x v="16"/>
  </r>
  <r>
    <s v="bithumb:bchkrw"/>
    <n v="783000"/>
    <x v="2"/>
    <x v="36"/>
  </r>
  <r>
    <s v="bithumb:btckrw"/>
    <n v="5037000"/>
    <x v="2"/>
    <x v="37"/>
  </r>
  <r>
    <s v="bithumb:dashkrw"/>
    <n v="375200"/>
    <x v="2"/>
    <x v="38"/>
  </r>
  <r>
    <s v="bithumb:etckrw"/>
    <n v="20450"/>
    <x v="2"/>
    <x v="39"/>
  </r>
  <r>
    <s v="bithumb:ethkrw"/>
    <n v="360600"/>
    <x v="2"/>
    <x v="40"/>
  </r>
  <r>
    <s v="bithumb:ltckrw"/>
    <n v="86900"/>
    <x v="2"/>
    <x v="41"/>
  </r>
  <r>
    <s v="bithumb:xmrkrw"/>
    <n v="130890"/>
    <x v="2"/>
    <x v="42"/>
  </r>
  <r>
    <s v="bithumb:xrpkrw"/>
    <n v="248"/>
    <x v="2"/>
    <x v="43"/>
  </r>
  <r>
    <s v="bitmex:xbt-monthly-futures"/>
    <n v="4550.1000000000004"/>
    <x v="3"/>
    <x v="44"/>
  </r>
  <r>
    <s v="bitmex:xbt-perpetual-futures"/>
    <n v="4548.3999999999996"/>
    <x v="3"/>
    <x v="45"/>
  </r>
  <r>
    <s v="bitsquare:btcaud"/>
    <n v="5440.9306999999999"/>
    <x v="4"/>
    <x v="46"/>
  </r>
  <r>
    <s v="bitsquare:btceur"/>
    <n v="4024.3645000000001"/>
    <x v="4"/>
    <x v="47"/>
  </r>
  <r>
    <s v="bitsquare:btcusd"/>
    <n v="4703.7219999999998"/>
    <x v="4"/>
    <x v="8"/>
  </r>
  <r>
    <s v="bitsquare:etcbtc"/>
    <n v="6.7372300000000003E-3"/>
    <x v="4"/>
    <x v="14"/>
  </r>
  <r>
    <s v="bitsquare:ethbtc"/>
    <n v="7.991695E-2"/>
    <x v="4"/>
    <x v="16"/>
  </r>
  <r>
    <s v="bitsquare:ltcbtc"/>
    <n v="1.2999999999999999E-2"/>
    <x v="4"/>
    <x v="21"/>
  </r>
  <r>
    <s v="bitstamp:btceur"/>
    <n v="3865.97"/>
    <x v="5"/>
    <x v="47"/>
  </r>
  <r>
    <s v="bitstamp:btcusd"/>
    <n v="4544.13"/>
    <x v="5"/>
    <x v="8"/>
  </r>
  <r>
    <s v="bitstamp:ethbtc"/>
    <n v="7.1630089999999993E-2"/>
    <x v="5"/>
    <x v="16"/>
  </r>
  <r>
    <s v="bitstamp:etheur"/>
    <n v="276.39"/>
    <x v="5"/>
    <x v="48"/>
  </r>
  <r>
    <s v="bitstamp:ethusd"/>
    <n v="326.13"/>
    <x v="5"/>
    <x v="17"/>
  </r>
  <r>
    <s v="bitstamp:eurusd"/>
    <n v="1.1811"/>
    <x v="5"/>
    <x v="49"/>
  </r>
  <r>
    <s v="bitstamp:ltcbtc"/>
    <n v="1.7230120000000002E-2"/>
    <x v="5"/>
    <x v="21"/>
  </r>
  <r>
    <s v="bitstamp:ltceur"/>
    <n v="66.5"/>
    <x v="5"/>
    <x v="50"/>
  </r>
  <r>
    <s v="bitstamp:ltcusd"/>
    <n v="78.650000000000006"/>
    <x v="5"/>
    <x v="22"/>
  </r>
  <r>
    <s v="bitstamp:xrpbtc"/>
    <n v="4.9119999999999997E-5"/>
    <x v="5"/>
    <x v="28"/>
  </r>
  <r>
    <s v="bitstamp:xrpeur"/>
    <n v="0.19"/>
    <x v="5"/>
    <x v="51"/>
  </r>
  <r>
    <s v="bitstamp:xrpusd"/>
    <n v="0.22388"/>
    <x v="5"/>
    <x v="29"/>
  </r>
  <r>
    <s v="bitvc:btccny-quarterly-futures"/>
    <n v="30050"/>
    <x v="6"/>
    <x v="52"/>
  </r>
  <r>
    <s v="bitvc:btccny-weekly-futures"/>
    <n v="30050"/>
    <x v="6"/>
    <x v="53"/>
  </r>
  <r>
    <s v="bitvc:ltccny-quarterly-futures"/>
    <n v="410.53"/>
    <x v="6"/>
    <x v="54"/>
  </r>
  <r>
    <s v="bitvc:ltccny-weekly-futures"/>
    <n v="410.53"/>
    <x v="6"/>
    <x v="55"/>
  </r>
  <r>
    <s v="btc-china:btccny"/>
    <n v="29084.98"/>
    <x v="7"/>
    <x v="56"/>
  </r>
  <r>
    <s v="btc-china:ltcbtc"/>
    <n v="1.77E-2"/>
    <x v="7"/>
    <x v="21"/>
  </r>
  <r>
    <s v="btc-china:ltccny"/>
    <n v="502.8"/>
    <x v="7"/>
    <x v="57"/>
  </r>
  <r>
    <s v="cexio:bchusd"/>
    <n v="720"/>
    <x v="8"/>
    <x v="4"/>
  </r>
  <r>
    <s v="cexio:btceur"/>
    <n v="3950.3310000000001"/>
    <x v="8"/>
    <x v="47"/>
  </r>
  <r>
    <s v="cexio:btcusd"/>
    <n v="4737.7299999999996"/>
    <x v="8"/>
    <x v="8"/>
  </r>
  <r>
    <s v="cexio:ethbtc"/>
    <n v="7.1953390000000006E-2"/>
    <x v="8"/>
    <x v="16"/>
  </r>
  <r>
    <s v="cexio:ltcbtc"/>
    <n v="4.4989100000000001E-3"/>
    <x v="8"/>
    <x v="21"/>
  </r>
  <r>
    <s v="cexio:ltcusd"/>
    <n v="4.37"/>
    <x v="8"/>
    <x v="22"/>
  </r>
  <r>
    <s v="gdax:btceur"/>
    <n v="3827"/>
    <x v="9"/>
    <x v="47"/>
  </r>
  <r>
    <s v="gdax:btcgbp"/>
    <n v="3501.47"/>
    <x v="9"/>
    <x v="58"/>
  </r>
  <r>
    <s v="gdax:btcusd"/>
    <n v="4542.1400000000003"/>
    <x v="9"/>
    <x v="8"/>
  </r>
  <r>
    <s v="gdax:ethbtc"/>
    <n v="7.1980000000000002E-2"/>
    <x v="9"/>
    <x v="16"/>
  </r>
  <r>
    <s v="gdax:etheur"/>
    <n v="274.99"/>
    <x v="9"/>
    <x v="48"/>
  </r>
  <r>
    <s v="gdax:ethusd"/>
    <n v="326.52"/>
    <x v="9"/>
    <x v="17"/>
  </r>
  <r>
    <s v="gdax:ltcbtc"/>
    <n v="1.7250000000000001E-2"/>
    <x v="9"/>
    <x v="21"/>
  </r>
  <r>
    <s v="gdax:ltceur"/>
    <n v="65.599999999999994"/>
    <x v="9"/>
    <x v="50"/>
  </r>
  <r>
    <s v="gdax:ltcusd"/>
    <n v="78.55"/>
    <x v="9"/>
    <x v="22"/>
  </r>
  <r>
    <s v="gemini:btcusd"/>
    <n v="4539.95"/>
    <x v="10"/>
    <x v="8"/>
  </r>
  <r>
    <s v="gemini:ethbtc"/>
    <n v="7.1760000000000004E-2"/>
    <x v="10"/>
    <x v="16"/>
  </r>
  <r>
    <s v="gemini:ethusd"/>
    <n v="326.14"/>
    <x v="10"/>
    <x v="17"/>
  </r>
  <r>
    <s v="huobi:btccny"/>
    <n v="28960"/>
    <x v="11"/>
    <x v="56"/>
  </r>
  <r>
    <s v="huobi:ltccny"/>
    <n v="503.08"/>
    <x v="11"/>
    <x v="57"/>
  </r>
  <r>
    <s v="kraken:bchbtc"/>
    <n v="0.15151000000000001"/>
    <x v="12"/>
    <x v="2"/>
  </r>
  <r>
    <s v="kraken:bcheur"/>
    <n v="580"/>
    <x v="12"/>
    <x v="59"/>
  </r>
  <r>
    <s v="kraken:bchusd"/>
    <n v="700"/>
    <x v="12"/>
    <x v="4"/>
  </r>
  <r>
    <s v="kraken:btccad"/>
    <n v="5813.2"/>
    <x v="12"/>
    <x v="60"/>
  </r>
  <r>
    <s v="kraken:btceur"/>
    <n v="3853.8"/>
    <x v="12"/>
    <x v="47"/>
  </r>
  <r>
    <s v="kraken:btcgbp"/>
    <n v="3018"/>
    <x v="12"/>
    <x v="58"/>
  </r>
  <r>
    <s v="kraken:btcjpy"/>
    <n v="515000"/>
    <x v="12"/>
    <x v="33"/>
  </r>
  <r>
    <s v="kraken:btcusd"/>
    <n v="4600"/>
    <x v="12"/>
    <x v="8"/>
  </r>
  <r>
    <s v="kraken:dashbtc"/>
    <n v="7.4380000000000002E-2"/>
    <x v="12"/>
    <x v="9"/>
  </r>
  <r>
    <s v="kraken:dasheur"/>
    <n v="288"/>
    <x v="12"/>
    <x v="61"/>
  </r>
  <r>
    <s v="kraken:dashusd"/>
    <n v="340.14400000000001"/>
    <x v="12"/>
    <x v="10"/>
  </r>
  <r>
    <s v="kraken:dogebtc"/>
    <n v="4.4000000000000002E-7"/>
    <x v="12"/>
    <x v="62"/>
  </r>
  <r>
    <s v="kraken:eosbtc"/>
    <n v="1.942E-4"/>
    <x v="12"/>
    <x v="11"/>
  </r>
  <r>
    <s v="kraken:eoseth"/>
    <n v="2.7469999999999999E-3"/>
    <x v="12"/>
    <x v="12"/>
  </r>
  <r>
    <s v="kraken:eoseur"/>
    <n v="1.0512999999999999"/>
    <x v="12"/>
    <x v="63"/>
  </r>
  <r>
    <s v="kraken:eosusd"/>
    <n v="1.2495000000000001"/>
    <x v="12"/>
    <x v="13"/>
  </r>
  <r>
    <s v="kraken:etcbtc"/>
    <n v="4.0699999999999998E-3"/>
    <x v="12"/>
    <x v="14"/>
  </r>
  <r>
    <s v="kraken:etceth"/>
    <n v="5.5910000000000001E-2"/>
    <x v="12"/>
    <x v="64"/>
  </r>
  <r>
    <s v="kraken:etceur"/>
    <n v="15.659000000000001"/>
    <x v="12"/>
    <x v="65"/>
  </r>
  <r>
    <s v="kraken:etcusd"/>
    <n v="18.75"/>
    <x v="12"/>
    <x v="15"/>
  </r>
  <r>
    <s v="kraken:ethbtc"/>
    <n v="7.1639999999999995E-2"/>
    <x v="12"/>
    <x v="16"/>
  </r>
  <r>
    <s v="kraken:ethcad"/>
    <n v="415"/>
    <x v="12"/>
    <x v="66"/>
  </r>
  <r>
    <s v="kraken:etheur"/>
    <n v="276"/>
    <x v="12"/>
    <x v="48"/>
  </r>
  <r>
    <s v="kraken:ethgbp"/>
    <n v="244.99791999999999"/>
    <x v="12"/>
    <x v="67"/>
  </r>
  <r>
    <s v="kraken:ethjpy"/>
    <n v="36103"/>
    <x v="12"/>
    <x v="68"/>
  </r>
  <r>
    <s v="kraken:ethusd"/>
    <n v="331.82"/>
    <x v="12"/>
    <x v="17"/>
  </r>
  <r>
    <s v="kraken:gnobtc"/>
    <n v="3.3730000000000003E-2"/>
    <x v="12"/>
    <x v="69"/>
  </r>
  <r>
    <s v="kraken:gnoeth"/>
    <n v="0.46679999999999999"/>
    <x v="12"/>
    <x v="70"/>
  </r>
  <r>
    <s v="kraken:gnoeur"/>
    <n v="137.38220000000001"/>
    <x v="12"/>
    <x v="71"/>
  </r>
  <r>
    <s v="kraken:gnousd"/>
    <n v="150"/>
    <x v="12"/>
    <x v="72"/>
  </r>
  <r>
    <s v="kraken:icnbtc"/>
    <n v="4.73E-4"/>
    <x v="12"/>
    <x v="73"/>
  </r>
  <r>
    <s v="kraken:icneth"/>
    <n v="6.5300000000000002E-3"/>
    <x v="12"/>
    <x v="74"/>
  </r>
  <r>
    <s v="kraken:ltcbtc"/>
    <n v="1.7270000000000001E-2"/>
    <x v="12"/>
    <x v="21"/>
  </r>
  <r>
    <s v="kraken:ltccad"/>
    <n v="4.8090799999999998"/>
    <x v="12"/>
    <x v="75"/>
  </r>
  <r>
    <s v="kraken:ltceur"/>
    <n v="66.650000000000006"/>
    <x v="12"/>
    <x v="50"/>
  </r>
  <r>
    <s v="kraken:ltcusd"/>
    <n v="79.260000000000005"/>
    <x v="12"/>
    <x v="22"/>
  </r>
  <r>
    <s v="kraken:mlnbtc"/>
    <n v="1.6168999999999999E-2"/>
    <x v="12"/>
    <x v="76"/>
  </r>
  <r>
    <s v="kraken:mlneth"/>
    <n v="0.21887999999999999"/>
    <x v="12"/>
    <x v="77"/>
  </r>
  <r>
    <s v="kraken:repbtc"/>
    <n v="5.1000000000000004E-3"/>
    <x v="12"/>
    <x v="78"/>
  </r>
  <r>
    <s v="kraken:repcad"/>
    <n v="5.3175600000000003"/>
    <x v="12"/>
    <x v="79"/>
  </r>
  <r>
    <s v="kraken:repeth"/>
    <n v="7.0309999999999997E-2"/>
    <x v="12"/>
    <x v="80"/>
  </r>
  <r>
    <s v="kraken:repeur"/>
    <n v="19.63"/>
    <x v="12"/>
    <x v="81"/>
  </r>
  <r>
    <s v="kraken:repjpy"/>
    <n v="350"/>
    <x v="12"/>
    <x v="82"/>
  </r>
  <r>
    <s v="kraken:repusd"/>
    <n v="20.534199999999998"/>
    <x v="12"/>
    <x v="83"/>
  </r>
  <r>
    <s v="kraken:strbtc"/>
    <n v="4.3699999999999997E-6"/>
    <x v="12"/>
    <x v="84"/>
  </r>
  <r>
    <s v="kraken:streur"/>
    <n v="1.4500000000000001E-2"/>
    <x v="12"/>
    <x v="85"/>
  </r>
  <r>
    <s v="kraken:strusd"/>
    <n v="1.7072E-2"/>
    <x v="12"/>
    <x v="86"/>
  </r>
  <r>
    <s v="kraken:usdtusd"/>
    <n v="1.0157"/>
    <x v="12"/>
    <x v="87"/>
  </r>
  <r>
    <s v="kraken:xmrbtc"/>
    <n v="2.6044999999999999E-2"/>
    <x v="12"/>
    <x v="26"/>
  </r>
  <r>
    <s v="kraken:xmreur"/>
    <n v="100.09"/>
    <x v="12"/>
    <x v="88"/>
  </r>
  <r>
    <s v="kraken:xmrusd"/>
    <n v="119.26"/>
    <x v="12"/>
    <x v="27"/>
  </r>
  <r>
    <s v="kraken:xrpbtc"/>
    <n v="4.905E-5"/>
    <x v="12"/>
    <x v="28"/>
  </r>
  <r>
    <s v="kraken:xrpcad"/>
    <n v="0.23414299999999999"/>
    <x v="12"/>
    <x v="89"/>
  </r>
  <r>
    <s v="kraken:xrpeur"/>
    <n v="0.18984999999999999"/>
    <x v="12"/>
    <x v="51"/>
  </r>
  <r>
    <s v="kraken:xrpjpy"/>
    <n v="20.045100000000001"/>
    <x v="12"/>
    <x v="90"/>
  </r>
  <r>
    <s v="kraken:xrpusd"/>
    <n v="0.22622"/>
    <x v="12"/>
    <x v="29"/>
  </r>
  <r>
    <s v="kraken:zecbtc"/>
    <n v="5.2499999999999998E-2"/>
    <x v="12"/>
    <x v="30"/>
  </r>
  <r>
    <s v="kraken:zeccad"/>
    <n v="47.38758"/>
    <x v="12"/>
    <x v="91"/>
  </r>
  <r>
    <s v="kraken:zeceur"/>
    <n v="203.999"/>
    <x v="12"/>
    <x v="92"/>
  </r>
  <r>
    <s v="kraken:zecgbp"/>
    <n v="29.107279999999999"/>
    <x v="12"/>
    <x v="93"/>
  </r>
  <r>
    <s v="kraken:zecjpy"/>
    <n v="27455.94"/>
    <x v="12"/>
    <x v="94"/>
  </r>
  <r>
    <s v="kraken:zecusd"/>
    <n v="242.02"/>
    <x v="12"/>
    <x v="31"/>
  </r>
  <r>
    <s v="luno:btczar"/>
    <n v="65010"/>
    <x v="13"/>
    <x v="95"/>
  </r>
  <r>
    <s v="okcoin:btccny"/>
    <n v="28802.97"/>
    <x v="14"/>
    <x v="56"/>
  </r>
  <r>
    <s v="okcoin:btcusd"/>
    <n v="4644.91"/>
    <x v="14"/>
    <x v="8"/>
  </r>
  <r>
    <s v="okcoin:btcusd-biweekly-futures"/>
    <n v="4443.75"/>
    <x v="14"/>
    <x v="96"/>
  </r>
  <r>
    <s v="okcoin:btcusd-quarterly-futures"/>
    <n v="4454.97"/>
    <x v="14"/>
    <x v="97"/>
  </r>
  <r>
    <s v="okcoin:btcusd-weekly-futures"/>
    <n v="4453"/>
    <x v="14"/>
    <x v="98"/>
  </r>
  <r>
    <s v="okcoin:ltccny"/>
    <n v="503.14"/>
    <x v="14"/>
    <x v="57"/>
  </r>
  <r>
    <s v="okcoin:ltcusd"/>
    <n v="80.799000000000007"/>
    <x v="14"/>
    <x v="22"/>
  </r>
  <r>
    <s v="okcoin:ltcusd-biweekly-futures"/>
    <n v="77.323999999999998"/>
    <x v="14"/>
    <x v="99"/>
  </r>
  <r>
    <s v="okcoin:ltcusd-quarterly-futures"/>
    <n v="77.233000000000004"/>
    <x v="14"/>
    <x v="100"/>
  </r>
  <r>
    <s v="okcoin:ltcusd-weekly-futures"/>
    <n v="77.850999999999999"/>
    <x v="14"/>
    <x v="101"/>
  </r>
  <r>
    <s v="poloniex:bchbtc"/>
    <n v="0.1525"/>
    <x v="15"/>
    <x v="2"/>
  </r>
  <r>
    <s v="poloniex:btcusd"/>
    <n v="4529"/>
    <x v="15"/>
    <x v="8"/>
  </r>
  <r>
    <s v="poloniex:btsbtc"/>
    <n v="3.2929999999999998E-5"/>
    <x v="15"/>
    <x v="102"/>
  </r>
  <r>
    <s v="poloniex:daobtc"/>
    <n v="0"/>
    <x v="15"/>
    <x v="103"/>
  </r>
  <r>
    <s v="poloniex:daoeth"/>
    <n v="0"/>
    <x v="15"/>
    <x v="104"/>
  </r>
  <r>
    <s v="poloniex:dashbtc"/>
    <n v="7.4648729999999996E-2"/>
    <x v="15"/>
    <x v="9"/>
  </r>
  <r>
    <s v="poloniex:dashusd"/>
    <n v="337.97550000000001"/>
    <x v="15"/>
    <x v="10"/>
  </r>
  <r>
    <s v="poloniex:dgbbtc"/>
    <n v="4.0199999999999996E-6"/>
    <x v="15"/>
    <x v="105"/>
  </r>
  <r>
    <s v="poloniex:etcbtc"/>
    <n v="4.0637E-3"/>
    <x v="15"/>
    <x v="14"/>
  </r>
  <r>
    <s v="poloniex:etceth"/>
    <n v="5.6918490000000002E-2"/>
    <x v="15"/>
    <x v="64"/>
  </r>
  <r>
    <s v="poloniex:etcusd"/>
    <n v="18.489999999999998"/>
    <x v="15"/>
    <x v="15"/>
  </r>
  <r>
    <s v="poloniex:ethbtc"/>
    <n v="7.1796460000000006E-2"/>
    <x v="15"/>
    <x v="16"/>
  </r>
  <r>
    <s v="poloniex:ethusd"/>
    <n v="325"/>
    <x v="15"/>
    <x v="17"/>
  </r>
  <r>
    <s v="poloniex:fctbtc"/>
    <n v="5.6909999999999999E-3"/>
    <x v="15"/>
    <x v="106"/>
  </r>
  <r>
    <s v="poloniex:gnobtc"/>
    <n v="3.3100230000000001E-2"/>
    <x v="15"/>
    <x v="69"/>
  </r>
  <r>
    <s v="poloniex:gnoeth"/>
    <n v="0.46157496999999997"/>
    <x v="15"/>
    <x v="70"/>
  </r>
  <r>
    <s v="poloniex:gntbtc"/>
    <n v="1.0726E-4"/>
    <x v="15"/>
    <x v="107"/>
  </r>
  <r>
    <s v="poloniex:lskbtc"/>
    <n v="1.57654E-3"/>
    <x v="15"/>
    <x v="108"/>
  </r>
  <r>
    <s v="poloniex:lsketh"/>
    <n v="2.1999990000000001E-2"/>
    <x v="15"/>
    <x v="109"/>
  </r>
  <r>
    <s v="poloniex:ltcbtc"/>
    <n v="1.7240999999999999E-2"/>
    <x v="15"/>
    <x v="21"/>
  </r>
  <r>
    <s v="poloniex:ltcusd"/>
    <n v="78.354100000000003"/>
    <x v="15"/>
    <x v="22"/>
  </r>
  <r>
    <s v="poloniex:ltcxmr"/>
    <n v="0.66145010000000004"/>
    <x v="15"/>
    <x v="110"/>
  </r>
  <r>
    <s v="poloniex:maidbtc"/>
    <n v="1.4516999999999999E-4"/>
    <x v="15"/>
    <x v="111"/>
  </r>
  <r>
    <s v="poloniex:navbtc"/>
    <n v="3.2885999999999999E-4"/>
    <x v="15"/>
    <x v="112"/>
  </r>
  <r>
    <s v="poloniex:nxtbtc"/>
    <n v="2.3920000000000001E-5"/>
    <x v="15"/>
    <x v="113"/>
  </r>
  <r>
    <s v="poloniex:nxtusd"/>
    <n v="0.10734006"/>
    <x v="15"/>
    <x v="114"/>
  </r>
  <r>
    <s v="poloniex:nxtxmr"/>
    <n v="9.2991999999999999E-4"/>
    <x v="15"/>
    <x v="115"/>
  </r>
  <r>
    <s v="poloniex:repbtc"/>
    <n v="5.1050100000000001E-3"/>
    <x v="15"/>
    <x v="78"/>
  </r>
  <r>
    <s v="poloniex:repeth"/>
    <n v="7.1093859999999995E-2"/>
    <x v="15"/>
    <x v="80"/>
  </r>
  <r>
    <s v="poloniex:repusd"/>
    <n v="23.112884999999999"/>
    <x v="15"/>
    <x v="83"/>
  </r>
  <r>
    <s v="poloniex:sdcbtc"/>
    <n v="3.2948999999999999E-4"/>
    <x v="15"/>
    <x v="116"/>
  </r>
  <r>
    <s v="poloniex:stratbtc"/>
    <n v="1.3218399999999999E-3"/>
    <x v="15"/>
    <x v="117"/>
  </r>
  <r>
    <s v="poloniex:strbtc"/>
    <n v="4.34E-6"/>
    <x v="15"/>
    <x v="84"/>
  </r>
  <r>
    <s v="poloniex:strusd"/>
    <n v="1.9658160000000001E-2"/>
    <x v="15"/>
    <x v="86"/>
  </r>
  <r>
    <s v="poloniex:xmrbtc"/>
    <n v="2.6113580000000001E-2"/>
    <x v="15"/>
    <x v="26"/>
  </r>
  <r>
    <s v="poloniex:xmrusd"/>
    <n v="118"/>
    <x v="15"/>
    <x v="27"/>
  </r>
  <r>
    <s v="poloniex:xrpbtc"/>
    <n v="4.8989999999999997E-5"/>
    <x v="15"/>
    <x v="28"/>
  </r>
  <r>
    <s v="poloniex:xrpusd"/>
    <n v="0.2223"/>
    <x v="15"/>
    <x v="29"/>
  </r>
  <r>
    <s v="poloniex:zecbtc"/>
    <n v="5.2524679999999997E-2"/>
    <x v="15"/>
    <x v="30"/>
  </r>
  <r>
    <s v="poloniex:zeceth"/>
    <n v="0.73100010000000004"/>
    <x v="15"/>
    <x v="118"/>
  </r>
  <r>
    <s v="poloniex:zecusd"/>
    <n v="238.5"/>
    <x v="15"/>
    <x v="31"/>
  </r>
  <r>
    <s v="poloniex:zecxmr"/>
    <n v="2.0055149999999999"/>
    <x v="15"/>
    <x v="119"/>
  </r>
  <r>
    <s v="qryptos:etcbtc"/>
    <n v="5.0000000000000001E-3"/>
    <x v="16"/>
    <x v="14"/>
  </r>
  <r>
    <s v="qryptos:ethbtc"/>
    <n v="6.9330000000000003E-2"/>
    <x v="16"/>
    <x v="16"/>
  </r>
  <r>
    <s v="qryptos:ltcbtc"/>
    <n v="1.7399999999999999E-2"/>
    <x v="16"/>
    <x v="21"/>
  </r>
  <r>
    <s v="qryptos:repbtc"/>
    <n v="0"/>
    <x v="16"/>
    <x v="78"/>
  </r>
  <r>
    <s v="qryptos:xmrbtc"/>
    <n v="2.4060000000000002E-2"/>
    <x v="16"/>
    <x v="26"/>
  </r>
  <r>
    <s v="qryptos:xrpbtc"/>
    <n v="3.0000000000000001E-5"/>
    <x v="16"/>
    <x v="28"/>
  </r>
  <r>
    <s v="qryptos:zecbtc"/>
    <n v="2.5999999999999999E-3"/>
    <x v="16"/>
    <x v="30"/>
  </r>
  <r>
    <s v="quoine:bchjpy"/>
    <n v="74000"/>
    <x v="17"/>
    <x v="120"/>
  </r>
  <r>
    <s v="quoine:bchsgd"/>
    <n v="501"/>
    <x v="17"/>
    <x v="121"/>
  </r>
  <r>
    <s v="quoine:bchusd"/>
    <n v="675"/>
    <x v="17"/>
    <x v="4"/>
  </r>
  <r>
    <s v="quoine:btcaud"/>
    <n v="5689.0933000000005"/>
    <x v="17"/>
    <x v="46"/>
  </r>
  <r>
    <s v="quoine:btccny"/>
    <n v="30000"/>
    <x v="17"/>
    <x v="56"/>
  </r>
  <r>
    <s v="quoine:btceur"/>
    <n v="3805.6826000000001"/>
    <x v="17"/>
    <x v="47"/>
  </r>
  <r>
    <s v="quoine:btchkd"/>
    <n v="35497.230000000003"/>
    <x v="17"/>
    <x v="122"/>
  </r>
  <r>
    <s v="quoine:btcidr"/>
    <n v="60718804"/>
    <x v="17"/>
    <x v="123"/>
  </r>
  <r>
    <s v="quoine:btcinr"/>
    <n v="281000"/>
    <x v="17"/>
    <x v="124"/>
  </r>
  <r>
    <s v="quoine:btcjpy"/>
    <n v="500791.47"/>
    <x v="17"/>
    <x v="33"/>
  </r>
  <r>
    <s v="quoine:btcphp"/>
    <n v="232301.9"/>
    <x v="17"/>
    <x v="125"/>
  </r>
  <r>
    <s v="quoine:btcsgd"/>
    <n v="6155"/>
    <x v="17"/>
    <x v="126"/>
  </r>
  <r>
    <s v="quoine:btcusd"/>
    <n v="4591.6679999999997"/>
    <x v="17"/>
    <x v="8"/>
  </r>
  <r>
    <s v="quoine:ethaud"/>
    <n v="411.053"/>
    <x v="17"/>
    <x v="127"/>
  </r>
  <r>
    <s v="quoine:ethbtc"/>
    <n v="8.0990000000000006E-2"/>
    <x v="17"/>
    <x v="16"/>
  </r>
  <r>
    <s v="quoine:ethcny"/>
    <n v="0"/>
    <x v="17"/>
    <x v="128"/>
  </r>
  <r>
    <s v="quoine:etheur"/>
    <n v="221.49857"/>
    <x v="17"/>
    <x v="48"/>
  </r>
  <r>
    <s v="quoine:ethhkd"/>
    <n v="0"/>
    <x v="17"/>
    <x v="129"/>
  </r>
  <r>
    <s v="quoine:ethidr"/>
    <n v="142957.22"/>
    <x v="17"/>
    <x v="130"/>
  </r>
  <r>
    <s v="quoine:ethinr"/>
    <n v="0"/>
    <x v="17"/>
    <x v="131"/>
  </r>
  <r>
    <s v="quoine:ethjpy"/>
    <n v="36928.120000000003"/>
    <x v="17"/>
    <x v="68"/>
  </r>
  <r>
    <s v="quoine:ethphp"/>
    <n v="620"/>
    <x v="17"/>
    <x v="132"/>
  </r>
  <r>
    <s v="quoine:ethsgd"/>
    <n v="452.86259999999999"/>
    <x v="17"/>
    <x v="133"/>
  </r>
  <r>
    <s v="quoine:ethusd"/>
    <n v="298"/>
    <x v="17"/>
    <x v="1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OLONIEX" cacheId="76" applyNumberFormats="0" applyBorderFormats="0" applyFontFormats="0" applyPatternFormats="0" applyAlignmentFormats="0" applyWidthHeightFormats="1" dataCaption="Values" updatedVersion="6" minRefreshableVersion="3" showDrill="0" useAutoFormatting="1" rowGrandTotals="0" colGrandTotals="0" itemPrintTitles="1" createdVersion="6" indent="0" showHeaders="0" outline="1" outlineData="1" multipleFieldFilters="0">
  <location ref="I4:J46" firstHeaderRow="1" firstDataRow="1" firstDataCol="1" rowPageCount="1" colPageCount="1"/>
  <pivotFields count="4">
    <pivotField subtotalTop="0" showAll="0"/>
    <pivotField dataField="1" subtotalTop="0" showAll="0"/>
    <pivotField axis="axisPage" subtotalTop="0" showAll="0" defaultSubtota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axis="axisRow" subtotalTop="0" showAll="0" defaultSubtotal="0">
      <items count="134">
        <item x="0"/>
        <item x="1"/>
        <item x="2"/>
        <item x="3"/>
        <item x="59"/>
        <item x="120"/>
        <item x="36"/>
        <item x="121"/>
        <item x="4"/>
        <item x="5"/>
        <item x="6"/>
        <item x="7"/>
        <item x="46"/>
        <item x="60"/>
        <item x="56"/>
        <item x="52"/>
        <item x="53"/>
        <item x="47"/>
        <item x="32"/>
        <item x="58"/>
        <item x="122"/>
        <item x="123"/>
        <item x="124"/>
        <item x="33"/>
        <item x="34"/>
        <item x="35"/>
        <item x="37"/>
        <item x="125"/>
        <item x="126"/>
        <item x="8"/>
        <item x="96"/>
        <item x="97"/>
        <item x="98"/>
        <item x="95"/>
        <item x="102"/>
        <item x="103"/>
        <item x="104"/>
        <item x="9"/>
        <item x="61"/>
        <item x="38"/>
        <item x="10"/>
        <item x="105"/>
        <item x="62"/>
        <item x="11"/>
        <item x="12"/>
        <item x="63"/>
        <item x="13"/>
        <item x="14"/>
        <item x="64"/>
        <item x="65"/>
        <item x="39"/>
        <item x="15"/>
        <item x="127"/>
        <item x="16"/>
        <item x="66"/>
        <item x="128"/>
        <item x="48"/>
        <item x="67"/>
        <item x="129"/>
        <item x="130"/>
        <item x="131"/>
        <item x="68"/>
        <item x="40"/>
        <item x="132"/>
        <item x="133"/>
        <item x="17"/>
        <item x="49"/>
        <item x="106"/>
        <item x="69"/>
        <item x="70"/>
        <item x="71"/>
        <item x="72"/>
        <item x="107"/>
        <item x="73"/>
        <item x="74"/>
        <item x="18"/>
        <item x="19"/>
        <item x="20"/>
        <item x="108"/>
        <item x="109"/>
        <item x="21"/>
        <item x="75"/>
        <item x="57"/>
        <item x="54"/>
        <item x="55"/>
        <item x="50"/>
        <item x="41"/>
        <item x="22"/>
        <item x="99"/>
        <item x="100"/>
        <item x="101"/>
        <item x="110"/>
        <item x="111"/>
        <item x="76"/>
        <item x="77"/>
        <item x="112"/>
        <item x="113"/>
        <item x="114"/>
        <item x="115"/>
        <item x="23"/>
        <item x="24"/>
        <item x="25"/>
        <item x="78"/>
        <item x="79"/>
        <item x="80"/>
        <item x="81"/>
        <item x="82"/>
        <item x="83"/>
        <item x="116"/>
        <item x="117"/>
        <item x="84"/>
        <item x="85"/>
        <item x="86"/>
        <item x="87"/>
        <item x="44"/>
        <item x="45"/>
        <item x="26"/>
        <item x="88"/>
        <item x="42"/>
        <item x="27"/>
        <item x="28"/>
        <item x="89"/>
        <item x="51"/>
        <item x="90"/>
        <item x="43"/>
        <item x="29"/>
        <item x="30"/>
        <item x="91"/>
        <item x="118"/>
        <item x="92"/>
        <item x="93"/>
        <item x="94"/>
        <item x="31"/>
        <item x="119"/>
      </items>
    </pivotField>
  </pivotFields>
  <rowFields count="1">
    <field x="3"/>
  </rowFields>
  <rowItems count="42">
    <i>
      <x v="2"/>
    </i>
    <i>
      <x v="29"/>
    </i>
    <i>
      <x v="34"/>
    </i>
    <i>
      <x v="35"/>
    </i>
    <i>
      <x v="36"/>
    </i>
    <i>
      <x v="37"/>
    </i>
    <i>
      <x v="40"/>
    </i>
    <i>
      <x v="41"/>
    </i>
    <i>
      <x v="47"/>
    </i>
    <i>
      <x v="48"/>
    </i>
    <i>
      <x v="51"/>
    </i>
    <i>
      <x v="53"/>
    </i>
    <i>
      <x v="65"/>
    </i>
    <i>
      <x v="67"/>
    </i>
    <i>
      <x v="68"/>
    </i>
    <i>
      <x v="69"/>
    </i>
    <i>
      <x v="72"/>
    </i>
    <i>
      <x v="78"/>
    </i>
    <i>
      <x v="79"/>
    </i>
    <i>
      <x v="80"/>
    </i>
    <i>
      <x v="87"/>
    </i>
    <i>
      <x v="91"/>
    </i>
    <i>
      <x v="92"/>
    </i>
    <i>
      <x v="95"/>
    </i>
    <i>
      <x v="96"/>
    </i>
    <i>
      <x v="97"/>
    </i>
    <i>
      <x v="98"/>
    </i>
    <i>
      <x v="102"/>
    </i>
    <i>
      <x v="104"/>
    </i>
    <i>
      <x v="107"/>
    </i>
    <i>
      <x v="108"/>
    </i>
    <i>
      <x v="109"/>
    </i>
    <i>
      <x v="110"/>
    </i>
    <i>
      <x v="112"/>
    </i>
    <i>
      <x v="116"/>
    </i>
    <i>
      <x v="119"/>
    </i>
    <i>
      <x v="120"/>
    </i>
    <i>
      <x v="125"/>
    </i>
    <i>
      <x v="126"/>
    </i>
    <i>
      <x v="128"/>
    </i>
    <i>
      <x v="132"/>
    </i>
    <i>
      <x v="133"/>
    </i>
  </rowItems>
  <colItems count="1">
    <i/>
  </colItems>
  <pageFields count="1">
    <pageField fld="2" item="15" hier="-1"/>
  </pageFields>
  <dataFields count="1">
    <dataField name="Rate" fld="1" baseField="3" baseItem="0"/>
  </dataFields>
  <pivotTableStyleInfo name="PivotStyleLight2" showRowHeaders="0" showColHeaders="0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BITFINEX" cacheId="76" applyNumberFormats="0" applyBorderFormats="0" applyFontFormats="0" applyPatternFormats="0" applyAlignmentFormats="0" applyWidthHeightFormats="1" dataCaption="Values" updatedVersion="6" minRefreshableVersion="3" showDrill="0" useAutoFormatting="1" rowGrandTotals="0" colGrandTotals="0" itemPrintTitles="1" createdVersion="6" indent="0" showHeaders="0" outline="1" outlineData="1" multipleFieldFilters="0">
  <location ref="F4:G36" firstHeaderRow="1" firstDataRow="1" firstDataCol="1" rowPageCount="1" colPageCount="1"/>
  <pivotFields count="4">
    <pivotField subtotalTop="0" showAll="0"/>
    <pivotField dataField="1" subtotalTop="0" showAll="0"/>
    <pivotField axis="axisPage" subtotalTop="0" showAll="0" defaultSubtota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axis="axisRow" subtotalTop="0" showAll="0" defaultSubtotal="0">
      <items count="134">
        <item x="0"/>
        <item x="1"/>
        <item x="2"/>
        <item x="3"/>
        <item x="59"/>
        <item x="120"/>
        <item x="36"/>
        <item x="121"/>
        <item x="4"/>
        <item x="5"/>
        <item x="6"/>
        <item x="7"/>
        <item x="46"/>
        <item x="60"/>
        <item x="56"/>
        <item x="52"/>
        <item x="53"/>
        <item x="47"/>
        <item x="32"/>
        <item x="58"/>
        <item x="122"/>
        <item x="123"/>
        <item x="124"/>
        <item x="33"/>
        <item x="34"/>
        <item x="35"/>
        <item x="37"/>
        <item x="125"/>
        <item x="126"/>
        <item x="8"/>
        <item x="96"/>
        <item x="97"/>
        <item x="98"/>
        <item x="95"/>
        <item x="102"/>
        <item x="103"/>
        <item x="104"/>
        <item x="9"/>
        <item x="61"/>
        <item x="38"/>
        <item x="10"/>
        <item x="105"/>
        <item x="62"/>
        <item x="11"/>
        <item x="12"/>
        <item x="63"/>
        <item x="13"/>
        <item x="14"/>
        <item x="64"/>
        <item x="65"/>
        <item x="39"/>
        <item x="15"/>
        <item x="127"/>
        <item x="16"/>
        <item x="66"/>
        <item x="128"/>
        <item x="48"/>
        <item x="67"/>
        <item x="129"/>
        <item x="130"/>
        <item x="131"/>
        <item x="68"/>
        <item x="40"/>
        <item x="132"/>
        <item x="133"/>
        <item x="17"/>
        <item x="49"/>
        <item x="106"/>
        <item x="69"/>
        <item x="70"/>
        <item x="71"/>
        <item x="72"/>
        <item x="107"/>
        <item x="73"/>
        <item x="74"/>
        <item x="18"/>
        <item x="19"/>
        <item x="20"/>
        <item x="108"/>
        <item x="109"/>
        <item x="21"/>
        <item x="75"/>
        <item x="57"/>
        <item x="54"/>
        <item x="55"/>
        <item x="50"/>
        <item x="41"/>
        <item x="22"/>
        <item x="99"/>
        <item x="100"/>
        <item x="101"/>
        <item x="110"/>
        <item x="111"/>
        <item x="76"/>
        <item x="77"/>
        <item x="112"/>
        <item x="113"/>
        <item x="114"/>
        <item x="115"/>
        <item x="23"/>
        <item x="24"/>
        <item x="25"/>
        <item x="78"/>
        <item x="79"/>
        <item x="80"/>
        <item x="81"/>
        <item x="82"/>
        <item x="83"/>
        <item x="116"/>
        <item x="117"/>
        <item x="84"/>
        <item x="85"/>
        <item x="86"/>
        <item x="87"/>
        <item x="44"/>
        <item x="45"/>
        <item x="26"/>
        <item x="88"/>
        <item x="42"/>
        <item x="27"/>
        <item x="28"/>
        <item x="89"/>
        <item x="51"/>
        <item x="90"/>
        <item x="43"/>
        <item x="29"/>
        <item x="30"/>
        <item x="91"/>
        <item x="118"/>
        <item x="92"/>
        <item x="93"/>
        <item x="94"/>
        <item x="31"/>
        <item x="119"/>
      </items>
    </pivotField>
  </pivotFields>
  <rowFields count="1">
    <field x="3"/>
  </rowFields>
  <rowItems count="32">
    <i>
      <x/>
    </i>
    <i>
      <x v="1"/>
    </i>
    <i>
      <x v="2"/>
    </i>
    <i>
      <x v="3"/>
    </i>
    <i>
      <x v="8"/>
    </i>
    <i>
      <x v="9"/>
    </i>
    <i>
      <x v="10"/>
    </i>
    <i>
      <x v="11"/>
    </i>
    <i>
      <x v="29"/>
    </i>
    <i>
      <x v="37"/>
    </i>
    <i>
      <x v="40"/>
    </i>
    <i>
      <x v="43"/>
    </i>
    <i>
      <x v="44"/>
    </i>
    <i>
      <x v="46"/>
    </i>
    <i>
      <x v="47"/>
    </i>
    <i>
      <x v="51"/>
    </i>
    <i>
      <x v="53"/>
    </i>
    <i>
      <x v="65"/>
    </i>
    <i>
      <x v="75"/>
    </i>
    <i>
      <x v="76"/>
    </i>
    <i>
      <x v="77"/>
    </i>
    <i>
      <x v="80"/>
    </i>
    <i>
      <x v="87"/>
    </i>
    <i>
      <x v="99"/>
    </i>
    <i>
      <x v="100"/>
    </i>
    <i>
      <x v="101"/>
    </i>
    <i>
      <x v="116"/>
    </i>
    <i>
      <x v="119"/>
    </i>
    <i>
      <x v="120"/>
    </i>
    <i>
      <x v="125"/>
    </i>
    <i>
      <x v="126"/>
    </i>
    <i>
      <x v="132"/>
    </i>
  </rowItems>
  <colItems count="1">
    <i/>
  </colItems>
  <pageFields count="1">
    <pageField fld="2" item="0" hier="-1"/>
  </pageFields>
  <dataFields count="1">
    <dataField name="Rate" fld="1" baseField="3" baseItem="0"/>
  </dataFields>
  <pivotTableStyleInfo name="PivotStyleLight2" showRowHeaders="0" showColHeaders="0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name="ExternalData_1" connectionId="4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3"/>
      <queryTableField id="2" name="Value" tableColumnId="2"/>
    </queryTableFields>
  </queryTableRefresh>
</queryTable>
</file>

<file path=xl/queryTables/queryTable2.xml><?xml version="1.0" encoding="utf-8"?>
<queryTable xmlns="http://schemas.openxmlformats.org/spreadsheetml/2006/main" name="ExternalData_1" connectionId="3" autoFormatId="16" applyNumberFormats="0" applyBorderFormats="0" applyFontFormats="0" applyPatternFormats="0" applyAlignmentFormats="0" applyWidthHeightFormats="0">
  <queryTableRefresh nextId="7" unboundColumnsRight="2">
    <queryTableFields count="4">
      <queryTableField id="1" name="Name" tableColumnId="3"/>
      <queryTableField id="2" name="Value" tableColumnId="2"/>
      <queryTableField id="5" dataBound="0" tableColumnId="5"/>
      <queryTableField id="6" dataBound="0" tableColumnId="6"/>
    </queryTableFields>
  </queryTableRefresh>
</queryTable>
</file>

<file path=xl/queryTables/queryTable3.xml><?xml version="1.0" encoding="utf-8"?>
<queryTable xmlns="http://schemas.openxmlformats.org/spreadsheetml/2006/main" name="ExternalData_1" connectionId="2" autoFormatId="16" applyNumberFormats="0" applyBorderFormats="0" applyFontFormats="0" applyPatternFormats="0" applyAlignmentFormats="0" applyWidthHeightFormats="0">
  <queryTableRefresh nextId="23" unboundColumnsRight="3">
    <queryTableFields count="9">
      <queryTableField id="16" name="Name" tableColumnId="14"/>
      <queryTableField id="3" name="Value.primary_currency" tableColumnId="3"/>
      <queryTableField id="4" name="Value.secondary_currency" tableColumnId="4"/>
      <queryTableField id="5" name="Value.change" tableColumnId="5"/>
      <queryTableField id="6" name="Value.last_price" tableColumnId="6"/>
      <queryTableField id="18" name="Value.volume_24hours" tableColumnId="16"/>
      <queryTableField id="9" dataBound="0" tableColumnId="1"/>
      <queryTableField id="22" dataBound="0" tableColumnId="18"/>
      <queryTableField id="10" dataBound="0" tableColumnId="10"/>
    </queryTableFields>
    <queryTableDeletedFields count="7">
      <deletedField name="Name"/>
      <deletedField name="Value.pairing_id"/>
      <deletedField name="Value.orderbook"/>
      <deletedField name="Value.volume_24hours"/>
      <deletedField name="Value.orderbook"/>
      <deletedField name="Name"/>
      <deletedField name="Value.pairing_id"/>
    </queryTableDeletedFields>
  </queryTableRefresh>
</queryTable>
</file>

<file path=xl/queryTables/queryTable4.xml><?xml version="1.0" encoding="utf-8"?>
<queryTable xmlns="http://schemas.openxmlformats.org/spreadsheetml/2006/main" name="ExternalData_1" connectionId="1" autoFormatId="16" applyNumberFormats="0" applyBorderFormats="0" applyFontFormats="0" applyPatternFormats="0" applyAlignmentFormats="0" applyWidthHeightFormats="0">
  <queryTableRefresh nextId="17" unboundColumnsRight="3">
    <queryTableFields count="16">
      <queryTableField id="1" name="Column1.MarketName" tableColumnId="14"/>
      <queryTableField id="2" name="Column1.High" tableColumnId="2"/>
      <queryTableField id="3" name="Column1.Low" tableColumnId="3"/>
      <queryTableField id="4" name="Column1.Volume" tableColumnId="4"/>
      <queryTableField id="5" name="Column1.Last" tableColumnId="5"/>
      <queryTableField id="6" name="Column1.BaseVolume" tableColumnId="6"/>
      <queryTableField id="7" name="Column1.TimeStamp" tableColumnId="7"/>
      <queryTableField id="8" name="Column1.Bid" tableColumnId="8"/>
      <queryTableField id="9" name="Column1.Ask" tableColumnId="9"/>
      <queryTableField id="10" name="Column1.OpenBuyOrders" tableColumnId="10"/>
      <queryTableField id="11" name="Column1.OpenSellOrders" tableColumnId="11"/>
      <queryTableField id="12" name="Column1.PrevDay" tableColumnId="12"/>
      <queryTableField id="13" name="Column1.Created" tableColumnId="13"/>
      <queryTableField id="14" dataBound="0" tableColumnId="15"/>
      <queryTableField id="15" dataBound="0" tableColumnId="16"/>
      <queryTableField id="16" dataBound="0" tableColumnId="17"/>
    </queryTableFields>
  </queryTableRefresh>
</queryTable>
</file>

<file path=xl/queryTables/queryTable5.xml><?xml version="1.0" encoding="utf-8"?>
<queryTable xmlns="http://schemas.openxmlformats.org/spreadsheetml/2006/main" name="ExternalData_1" connectionId="5" autoFormatId="16" applyNumberFormats="0" applyBorderFormats="0" applyFontFormats="0" applyPatternFormats="0" applyAlignmentFormats="0" applyWidthHeightFormats="0">
  <queryTableRefresh nextId="10" unboundColumnsRight="2">
    <queryTableFields count="9">
      <queryTableField id="1" name="Name" tableColumnId="8"/>
      <queryTableField id="2" name="Value.code" tableColumnId="2"/>
      <queryTableField id="3" name="Value.alphaCode" tableColumnId="3"/>
      <queryTableField id="4" name="Value.numericCode" tableColumnId="4"/>
      <queryTableField id="5" name="Value.name" tableColumnId="5"/>
      <queryTableField id="6" name="Value.rate" tableColumnId="6"/>
      <queryTableField id="7" name="Value.date" tableColumnId="7"/>
      <queryTableField id="8" dataBound="0" tableColumnId="1"/>
      <queryTableField id="9" dataBound="0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id="12" name="Query1" displayName="Query1" ref="L18:M20" tableType="queryTable" totalsRowShown="0">
  <autoFilter ref="L18:M20"/>
  <tableColumns count="2">
    <tableColumn id="3" uniqueName="3" name="Name" queryTableFieldId="1" dataDxfId="17"/>
    <tableColumn id="2" uniqueName="2" name="Value" queryTableFieldId="2" dataDxfId="1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1" name="CRYPTOWAT" displayName="CRYPTOWAT" ref="A1:D241" tableType="queryTable" totalsRowCount="1">
  <autoFilter ref="A1:D240"/>
  <tableColumns count="4">
    <tableColumn id="3" uniqueName="3" name="Name" queryTableFieldId="1"/>
    <tableColumn id="2" uniqueName="2" name="Value" queryTableFieldId="2" dataDxfId="6" totalsRowDxfId="7"/>
    <tableColumn id="5" uniqueName="5" name="Source" queryTableFieldId="5" dataDxfId="21">
      <calculatedColumnFormula>MID(CRYPTOWAT[[#This Row],[Name]],1,FIND(":",A2,1)-1)</calculatedColumnFormula>
    </tableColumn>
    <tableColumn id="6" uniqueName="6" name="Ticker" queryTableFieldId="6" dataDxfId="20">
      <calculatedColumnFormula>MID(CRYPTOWAT[[#This Row],[Name]],FIND(":",A2,1)+1,100)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2" name="BXTABLE" displayName="BXTABLE" ref="A1:I21" tableType="queryTable" totalsRowShown="0">
  <autoFilter ref="A1:I21"/>
  <tableColumns count="9">
    <tableColumn id="14" uniqueName="14" name="Name" queryTableFieldId="16" dataDxfId="15"/>
    <tableColumn id="3" uniqueName="3" name="Value.primary_currency" queryTableFieldId="3" dataDxfId="14"/>
    <tableColumn id="4" uniqueName="4" name="Value.secondary_currency" queryTableFieldId="4" dataDxfId="13"/>
    <tableColumn id="5" uniqueName="5" name="Value.change" queryTableFieldId="5" dataDxfId="12"/>
    <tableColumn id="6" uniqueName="6" name="Value.last_price" queryTableFieldId="6" dataDxfId="11"/>
    <tableColumn id="16" uniqueName="16" name="Value.volume_24hours" queryTableFieldId="18"/>
    <tableColumn id="1" uniqueName="1" name="FullTicker" queryTableFieldId="9" dataDxfId="10">
      <calculatedColumnFormula>LOWER(CONCATENATE("bxinth:",$C2,$B2))</calculatedColumnFormula>
    </tableColumn>
    <tableColumn id="18" uniqueName="18" name="Ticker" queryTableFieldId="22" dataDxfId="9">
      <calculatedColumnFormula>LOWER(CONCATENATE($C2,$B2))</calculatedColumnFormula>
    </tableColumn>
    <tableColumn id="10" uniqueName="10" name="Rate" queryTableFieldId="10" dataDxfId="8">
      <calculatedColumnFormula>$E2</calculatedColumnFormula>
    </tableColumn>
  </tableColumns>
  <tableStyleInfo name="TableStyleMedium7" showFirstColumn="0" showLastColumn="0" showRowStripes="1" showColumnStripes="0"/>
  <extLst>
    <ext xmlns:x14="http://schemas.microsoft.com/office/spreadsheetml/2009/9/main" uri="{504A1905-F514-4f6f-8877-14C23A59335A}">
      <x14:table altText="BXRATES"/>
    </ext>
  </extLst>
</table>
</file>

<file path=xl/tables/table4.xml><?xml version="1.0" encoding="utf-8"?>
<table xmlns="http://schemas.openxmlformats.org/spreadsheetml/2006/main" id="4" name="bittrex" displayName="bittrex" ref="A1:P260" tableType="queryTable" totalsRowShown="0">
  <autoFilter ref="A1:P260"/>
  <tableColumns count="16">
    <tableColumn id="14" uniqueName="14" name="Column1.MarketName" queryTableFieldId="1"/>
    <tableColumn id="2" uniqueName="2" name="Column1.High" queryTableFieldId="2"/>
    <tableColumn id="3" uniqueName="3" name="Column1.Low" queryTableFieldId="3"/>
    <tableColumn id="4" uniqueName="4" name="Column1.Volume" queryTableFieldId="4"/>
    <tableColumn id="5" uniqueName="5" name="Column1.Last" queryTableFieldId="5"/>
    <tableColumn id="6" uniqueName="6" name="Column1.BaseVolume" queryTableFieldId="6"/>
    <tableColumn id="7" uniqueName="7" name="Column1.TimeStamp" queryTableFieldId="7"/>
    <tableColumn id="8" uniqueName="8" name="Column1.Bid" queryTableFieldId="8"/>
    <tableColumn id="9" uniqueName="9" name="Column1.Ask" queryTableFieldId="9"/>
    <tableColumn id="10" uniqueName="10" name="Column1.OpenBuyOrders" queryTableFieldId="10"/>
    <tableColumn id="11" uniqueName="11" name="Column1.OpenSellOrders" queryTableFieldId="11"/>
    <tableColumn id="12" uniqueName="12" name="Column1.PrevDay" queryTableFieldId="12"/>
    <tableColumn id="13" uniqueName="13" name="Column1.Created" queryTableFieldId="13"/>
    <tableColumn id="15" uniqueName="15" name="FullTicker" queryTableFieldId="14" dataDxfId="2">
      <calculatedColumnFormula>LOWER(CONCATENATE("bittrex:",SUBSTITUTE(bittrex[[#This Row],[Column1.MarketName]],"-","")))</calculatedColumnFormula>
    </tableColumn>
    <tableColumn id="16" uniqueName="16" name="Ticker" queryTableFieldId="15" dataDxfId="1">
      <calculatedColumnFormula>LOWER(CONCATENATE(SUBSTITUTE(bittrex[[#This Row],[Column1.MarketName]],"-","")))</calculatedColumnFormula>
    </tableColumn>
    <tableColumn id="17" uniqueName="17" name="Rate" queryTableFieldId="16" dataDxfId="0">
      <calculatedColumnFormula>bittrex[[#This Row],[Column1.Last]]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id="6" name="Table6" displayName="Table6" ref="A1:B33" totalsRowShown="0">
  <autoFilter ref="A1:B33"/>
  <tableColumns count="2">
    <tableColumn id="1" name="Ticker">
      <calculatedColumnFormula>'REF-Cryptowat.ch'!F5</calculatedColumnFormula>
    </tableColumn>
    <tableColumn id="2" name="Rate">
      <calculatedColumnFormula>'REF-Cryptowat.ch'!G5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8" name="Table8" displayName="Table8" ref="A1:B43" totalsRowShown="0">
  <autoFilter ref="A1:B43"/>
  <tableColumns count="2">
    <tableColumn id="1" name="Ticker" dataDxfId="19"/>
    <tableColumn id="2" name="Rate" dataDxfId="1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0" name="Table10" displayName="Table10" ref="A1:B1048576" totalsRowShown="0">
  <autoFilter ref="A1:B1048576"/>
  <tableColumns count="2">
    <tableColumn id="1" name="Ticker"/>
    <tableColumn id="2" name="R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1" name="Table11" displayName="Table11" ref="A1:B21" totalsRowShown="0">
  <autoFilter ref="A1:B21"/>
  <tableColumns count="2">
    <tableColumn id="1" name="Ticker">
      <calculatedColumnFormula>'REF-BX.in.th'!H2</calculatedColumnFormula>
    </tableColumn>
    <tableColumn id="2" name="Rate">
      <calculatedColumnFormula>'REF-BX.in.th'!I2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3" name="THBRATE" displayName="THBRATE" ref="A1:I81" tableType="queryTable" totalsRowShown="0">
  <autoFilter ref="A1:I81"/>
  <tableColumns count="9">
    <tableColumn id="8" uniqueName="8" name="Name" queryTableFieldId="1" dataDxfId="5"/>
    <tableColumn id="2" uniqueName="2" name="Value.code" queryTableFieldId="2"/>
    <tableColumn id="3" uniqueName="3" name="Value.alphaCode" queryTableFieldId="3"/>
    <tableColumn id="4" uniqueName="4" name="Value.numericCode" queryTableFieldId="4"/>
    <tableColumn id="5" uniqueName="5" name="Value.name" queryTableFieldId="5"/>
    <tableColumn id="6" uniqueName="6" name="Value.rate" queryTableFieldId="6"/>
    <tableColumn id="7" uniqueName="7" name="Value.date" queryTableFieldId="7"/>
    <tableColumn id="1" uniqueName="1" name="Column1" queryTableFieldId="8" dataDxfId="4">
      <calculatedColumnFormula>LOWER(CONCATENATE("THB",THBRATE[[#This Row],[Value.code]]))</calculatedColumnFormula>
    </tableColumn>
    <tableColumn id="9" uniqueName="9" name="Invert" queryTableFieldId="9" dataDxfId="3">
      <calculatedColumnFormula>1/THBRATE[[#This Row],[Value.rate]]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2:M21"/>
  <sheetViews>
    <sheetView tabSelected="1" workbookViewId="0">
      <selection activeCell="B25" sqref="B25"/>
    </sheetView>
  </sheetViews>
  <sheetFormatPr defaultRowHeight="13.8"/>
  <cols>
    <col min="2" max="2" width="70.296875" customWidth="1"/>
    <col min="3" max="9" width="0" hidden="1" customWidth="1"/>
    <col min="10" max="10" width="8.59765625" bestFit="1" customWidth="1"/>
    <col min="11" max="11" width="10.8984375" bestFit="1" customWidth="1"/>
    <col min="12" max="12" width="9.5" customWidth="1"/>
    <col min="13" max="13" width="15.796875" customWidth="1"/>
  </cols>
  <sheetData>
    <row r="2" spans="1:13">
      <c r="A2" s="11" t="s">
        <v>106</v>
      </c>
    </row>
    <row r="3" spans="1:13" ht="14.4" thickBot="1"/>
    <row r="4" spans="1:13" ht="15" thickBot="1">
      <c r="A4" s="8" t="s">
        <v>9</v>
      </c>
      <c r="B4" s="3"/>
      <c r="C4" s="3"/>
      <c r="D4" s="3"/>
      <c r="E4" s="3"/>
      <c r="F4" s="3"/>
    </row>
    <row r="5" spans="1:13" ht="14.4" thickBot="1">
      <c r="A5" s="4"/>
      <c r="B5" s="3"/>
      <c r="C5" s="3"/>
      <c r="D5" s="3"/>
      <c r="E5" s="3"/>
      <c r="F5" s="3"/>
    </row>
    <row r="6" spans="1:13" ht="15" thickBot="1">
      <c r="A6" s="9" t="s">
        <v>0</v>
      </c>
      <c r="B6" s="2"/>
      <c r="C6" s="2"/>
      <c r="D6" s="2"/>
      <c r="E6" s="2"/>
      <c r="F6" s="2"/>
      <c r="G6" s="2"/>
      <c r="H6" s="2"/>
    </row>
    <row r="7" spans="1:13" ht="15" thickBot="1">
      <c r="A7" s="9" t="s">
        <v>1</v>
      </c>
      <c r="B7" s="2"/>
      <c r="C7" s="2"/>
      <c r="D7" s="2"/>
      <c r="E7" s="2"/>
      <c r="F7" s="2"/>
      <c r="G7" s="2"/>
      <c r="H7" s="2"/>
    </row>
    <row r="8" spans="1:13" ht="15" thickBot="1">
      <c r="A8" s="9" t="s">
        <v>2</v>
      </c>
      <c r="B8" s="2"/>
      <c r="C8" s="2"/>
      <c r="D8" s="2"/>
      <c r="E8" s="2"/>
      <c r="F8" s="2"/>
      <c r="G8" s="2"/>
      <c r="H8" s="2"/>
    </row>
    <row r="9" spans="1:13" ht="14.4" thickBot="1">
      <c r="A9" s="10"/>
      <c r="B9" s="2"/>
      <c r="C9" s="2"/>
      <c r="D9" s="2"/>
      <c r="E9" s="2"/>
      <c r="F9" s="2"/>
      <c r="G9" s="2"/>
      <c r="H9" s="2"/>
    </row>
    <row r="10" spans="1:13" ht="15" thickBot="1">
      <c r="A10" s="9" t="s">
        <v>3</v>
      </c>
      <c r="B10" s="2"/>
      <c r="C10" s="2"/>
      <c r="D10" s="2"/>
      <c r="E10" s="2"/>
      <c r="F10" s="2"/>
      <c r="G10" s="2"/>
      <c r="H10" s="2"/>
    </row>
    <row r="11" spans="1:13" ht="14.4" thickBot="1">
      <c r="A11" s="10"/>
      <c r="B11" s="2"/>
      <c r="C11" s="2"/>
      <c r="D11" s="2"/>
      <c r="E11" s="2"/>
      <c r="F11" s="2"/>
      <c r="G11" s="2"/>
      <c r="H11" s="2"/>
      <c r="J11" s="44"/>
      <c r="K11" s="44" t="s">
        <v>20</v>
      </c>
      <c r="L11" s="44" t="s">
        <v>99</v>
      </c>
      <c r="M11" s="44" t="s">
        <v>100</v>
      </c>
    </row>
    <row r="12" spans="1:13" ht="15" thickBot="1">
      <c r="A12" s="9" t="s">
        <v>4</v>
      </c>
      <c r="B12" s="2"/>
      <c r="C12" s="2"/>
      <c r="D12" s="2"/>
      <c r="E12" s="2"/>
      <c r="F12" s="2"/>
      <c r="G12" s="2"/>
      <c r="H12" s="2"/>
      <c r="J12" s="44" t="s">
        <v>101</v>
      </c>
      <c r="K12" s="34">
        <f>VLOOKUP("btcusd",Bitfinex!A:B,2,FALSE)</f>
        <v>4532.1000000000004</v>
      </c>
      <c r="L12" s="34">
        <f>VLOOKUP("btcthb",Bx!A:B,2,FALSE)</f>
        <v>149002</v>
      </c>
      <c r="M12" s="34">
        <f>USDTHB</f>
        <v>33.155932076982481</v>
      </c>
    </row>
    <row r="13" spans="1:13" ht="15" thickBot="1">
      <c r="A13" s="9" t="s">
        <v>5</v>
      </c>
      <c r="B13" s="2"/>
      <c r="C13" s="2"/>
      <c r="D13" s="2"/>
      <c r="E13" s="2"/>
      <c r="F13" s="2"/>
      <c r="G13" s="2"/>
      <c r="H13" s="2"/>
      <c r="J13" s="44" t="s">
        <v>103</v>
      </c>
      <c r="K13" s="34">
        <f>VLOOKUP("ethusd",Bitfinex!A:B,2,FALSE)</f>
        <v>325.48</v>
      </c>
      <c r="L13" s="34">
        <f>VLOOKUP("eththb",Bx!A:B,2,FALSE)</f>
        <v>10749</v>
      </c>
      <c r="M13" s="34"/>
    </row>
    <row r="14" spans="1:13" ht="15" thickBot="1">
      <c r="A14" s="9" t="s">
        <v>6</v>
      </c>
      <c r="B14" s="2"/>
      <c r="C14" s="2"/>
      <c r="D14" s="2"/>
      <c r="E14" s="2"/>
      <c r="F14" s="2"/>
      <c r="G14" s="2"/>
      <c r="H14" s="2"/>
      <c r="J14" s="44" t="s">
        <v>102</v>
      </c>
      <c r="K14" s="34">
        <f>VLOOKUP("omgusd",Bitfinex!A:B,2,FALSE)</f>
        <v>11.15</v>
      </c>
      <c r="L14" s="34">
        <f>VLOOKUP("omgthb",Bx!A:B,2,FALSE)</f>
        <v>372</v>
      </c>
      <c r="M14" s="34"/>
    </row>
    <row r="15" spans="1:13" ht="15" thickBot="1">
      <c r="A15" s="9" t="s">
        <v>7</v>
      </c>
      <c r="B15" s="2"/>
      <c r="C15" s="2"/>
      <c r="D15" s="2"/>
      <c r="E15" s="2"/>
      <c r="F15" s="2"/>
      <c r="G15" s="2"/>
      <c r="H15" s="2"/>
    </row>
    <row r="16" spans="1:13" ht="15" thickBot="1">
      <c r="A16" s="9" t="s">
        <v>8</v>
      </c>
      <c r="B16" s="2"/>
      <c r="C16" s="2"/>
      <c r="D16" s="2"/>
      <c r="E16" s="2"/>
      <c r="F16" s="2"/>
      <c r="G16" s="2"/>
      <c r="H16" s="2"/>
    </row>
    <row r="17" spans="1:13">
      <c r="L17" s="43" t="s">
        <v>104</v>
      </c>
      <c r="M17" s="43"/>
    </row>
    <row r="18" spans="1:13">
      <c r="A18" s="42" t="s">
        <v>16</v>
      </c>
      <c r="B18" s="5"/>
      <c r="C18" s="5"/>
      <c r="D18" s="5"/>
      <c r="E18" s="5"/>
      <c r="F18" s="5"/>
      <c r="G18" s="5"/>
      <c r="H18" s="5"/>
      <c r="I18" s="5"/>
      <c r="L18" s="1"/>
      <c r="M18" s="1"/>
    </row>
    <row r="19" spans="1:13" ht="14.4">
      <c r="A19" s="5" t="s">
        <v>11</v>
      </c>
      <c r="B19" s="7" t="s">
        <v>12</v>
      </c>
      <c r="D19" s="6"/>
      <c r="E19" s="6"/>
      <c r="F19" s="6"/>
      <c r="G19" s="6"/>
      <c r="L19" s="1"/>
      <c r="M19" s="1"/>
    </row>
    <row r="20" spans="1:13" ht="14.4">
      <c r="A20" s="5" t="s">
        <v>13</v>
      </c>
      <c r="B20" s="7" t="s">
        <v>14</v>
      </c>
      <c r="D20" s="6"/>
      <c r="E20" s="6"/>
      <c r="F20" s="6"/>
      <c r="G20" s="6"/>
      <c r="L20" s="1"/>
      <c r="M20" s="1"/>
    </row>
    <row r="21" spans="1:13" ht="14.4">
      <c r="A21" s="5" t="s">
        <v>15</v>
      </c>
      <c r="B21" s="7" t="s">
        <v>14</v>
      </c>
      <c r="D21" s="6"/>
      <c r="E21" s="6"/>
      <c r="F21" s="6"/>
      <c r="G21" s="6"/>
    </row>
  </sheetData>
  <sheetProtection algorithmName="SHA-512" hashValue="g3TO7bEfkQFbFIz8kPGAtLihi3EJCPN9TklOzVAIIOnN9u65oFJRQXzDHxBmC6Ah2pWVv2/YnqW0g+aSqO1hKw==" saltValue="LhkcJasqm0n273LieAlR2A==" spinCount="100000" sheet="1" objects="1" scenarios="1"/>
  <mergeCells count="1">
    <mergeCell ref="L17:M17"/>
  </mergeCells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4:F17"/>
  <sheetViews>
    <sheetView workbookViewId="0">
      <selection activeCell="F8" sqref="F8"/>
    </sheetView>
  </sheetViews>
  <sheetFormatPr defaultRowHeight="13.8"/>
  <cols>
    <col min="1" max="2" width="20.19921875" customWidth="1"/>
    <col min="4" max="4" width="10.8984375" bestFit="1" customWidth="1"/>
  </cols>
  <sheetData>
    <row r="4" spans="1:6">
      <c r="D4" t="s">
        <v>98</v>
      </c>
    </row>
    <row r="5" spans="1:6">
      <c r="A5" s="11" t="s">
        <v>87</v>
      </c>
      <c r="B5" s="41" t="s">
        <v>91</v>
      </c>
      <c r="C5" s="34" t="s">
        <v>31</v>
      </c>
      <c r="D5" s="40">
        <f>VLOOKUP(Example!C5,Bitfinex!A:B,2)</f>
        <v>4532.1000000000004</v>
      </c>
    </row>
    <row r="6" spans="1:6">
      <c r="A6" s="11" t="s">
        <v>93</v>
      </c>
      <c r="B6" s="41" t="s">
        <v>92</v>
      </c>
      <c r="C6" s="34" t="s">
        <v>44</v>
      </c>
      <c r="D6" s="40">
        <f>VLOOKUP(Example!C6,Poloniex!A:B,2)</f>
        <v>7.322265E-2</v>
      </c>
    </row>
    <row r="7" spans="1:6">
      <c r="A7" s="11"/>
      <c r="B7" s="41" t="s">
        <v>94</v>
      </c>
      <c r="C7" s="34" t="s">
        <v>95</v>
      </c>
      <c r="D7" s="40">
        <f>VLOOKUP(Example!C7,Bittrex!A:B,2)</f>
        <v>2.4700899999999999E-3</v>
      </c>
      <c r="F7" t="s">
        <v>105</v>
      </c>
    </row>
    <row r="8" spans="1:6">
      <c r="A8" s="11"/>
      <c r="B8" s="41" t="s">
        <v>96</v>
      </c>
      <c r="C8" s="34" t="s">
        <v>97</v>
      </c>
      <c r="D8" s="40">
        <f>VLOOKUP(Example!C8,Bx!A:B,2)</f>
        <v>149002</v>
      </c>
    </row>
    <row r="9" spans="1:6">
      <c r="A9" s="11"/>
      <c r="C9" s="21"/>
    </row>
    <row r="10" spans="1:6">
      <c r="A10" s="11" t="s">
        <v>83</v>
      </c>
      <c r="B10" s="41" t="s">
        <v>89</v>
      </c>
    </row>
    <row r="11" spans="1:6">
      <c r="A11" s="11"/>
      <c r="B11" s="41" t="s">
        <v>17</v>
      </c>
    </row>
    <row r="12" spans="1:6">
      <c r="A12" s="11"/>
      <c r="B12" s="41" t="s">
        <v>90</v>
      </c>
    </row>
    <row r="13" spans="1:6">
      <c r="A13" s="11"/>
    </row>
    <row r="14" spans="1:6">
      <c r="A14" s="11" t="s">
        <v>85</v>
      </c>
      <c r="B14" s="41" t="s">
        <v>84</v>
      </c>
      <c r="C14" s="40">
        <f>USDTHB</f>
        <v>33.155932076982481</v>
      </c>
    </row>
    <row r="15" spans="1:6">
      <c r="A15" s="11"/>
      <c r="B15" s="41" t="s">
        <v>86</v>
      </c>
      <c r="C15" s="40">
        <f>EURTHB</f>
        <v>39.552767555289428</v>
      </c>
    </row>
    <row r="16" spans="1:6">
      <c r="A16" s="11"/>
    </row>
    <row r="17" spans="1:1">
      <c r="A17" s="11"/>
    </row>
  </sheetData>
  <dataValidations count="5">
    <dataValidation type="list" allowBlank="1" showInputMessage="1" showErrorMessage="1" sqref="B3">
      <formula1>"CryptowatTable[@Name]"</formula1>
    </dataValidation>
    <dataValidation type="list" allowBlank="1" showInputMessage="1" showErrorMessage="1" sqref="C5">
      <formula1>BITFINEX_PAIRS</formula1>
    </dataValidation>
    <dataValidation type="list" allowBlank="1" showInputMessage="1" showErrorMessage="1" sqref="C6">
      <formula1>POLONIEX_PAIRS</formula1>
    </dataValidation>
    <dataValidation type="list" allowBlank="1" showInputMessage="1" showErrorMessage="1" sqref="C7 C9">
      <formula1>BITTREX_PAIRS</formula1>
    </dataValidation>
    <dataValidation type="list" allowBlank="1" showInputMessage="1" showErrorMessage="1" sqref="C8">
      <formula1>BX_PAIRS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/>
  </sheetPr>
  <dimension ref="A1:J254"/>
  <sheetViews>
    <sheetView topLeftCell="A6" workbookViewId="0">
      <selection activeCell="I5" sqref="I5:J46"/>
    </sheetView>
  </sheetViews>
  <sheetFormatPr defaultRowHeight="13.8"/>
  <cols>
    <col min="1" max="1" width="26" bestFit="1" customWidth="1"/>
    <col min="2" max="2" width="10.8984375" bestFit="1" customWidth="1"/>
    <col min="3" max="3" width="9.19921875" bestFit="1" customWidth="1"/>
    <col min="4" max="4" width="20.09765625" bestFit="1" customWidth="1"/>
    <col min="5" max="5" width="3.3984375" customWidth="1"/>
    <col min="6" max="6" width="7.3984375" bestFit="1" customWidth="1"/>
    <col min="7" max="7" width="10.8984375" bestFit="1" customWidth="1"/>
    <col min="8" max="8" width="2.8984375" customWidth="1"/>
    <col min="9" max="9" width="7.3984375" bestFit="1" customWidth="1"/>
    <col min="10" max="10" width="10.8984375" bestFit="1" customWidth="1"/>
    <col min="11" max="11" width="10.796875" bestFit="1" customWidth="1"/>
    <col min="12" max="12" width="9.69921875" bestFit="1" customWidth="1"/>
    <col min="13" max="13" width="10.796875" bestFit="1" customWidth="1"/>
    <col min="14" max="19" width="9.69921875" bestFit="1" customWidth="1"/>
    <col min="20" max="20" width="7.5" bestFit="1" customWidth="1"/>
    <col min="21" max="22" width="8.59765625" bestFit="1" customWidth="1"/>
    <col min="23" max="23" width="6.3984375" bestFit="1" customWidth="1"/>
    <col min="24" max="24" width="7.5" bestFit="1" customWidth="1"/>
    <col min="25" max="25" width="8.59765625" bestFit="1" customWidth="1"/>
    <col min="26" max="29" width="7.5" bestFit="1" customWidth="1"/>
    <col min="30" max="30" width="5.296875" bestFit="1" customWidth="1"/>
    <col min="31" max="31" width="7.5" bestFit="1" customWidth="1"/>
    <col min="32" max="32" width="6.3984375" bestFit="1" customWidth="1"/>
    <col min="33" max="34" width="7.5" bestFit="1" customWidth="1"/>
    <col min="35" max="35" width="6.3984375" bestFit="1" customWidth="1"/>
    <col min="36" max="36" width="4.19921875" bestFit="1" customWidth="1"/>
    <col min="37" max="38" width="7.5" bestFit="1" customWidth="1"/>
    <col min="39" max="39" width="11.3984375" bestFit="1" customWidth="1"/>
    <col min="40" max="40" width="11.8984375" bestFit="1" customWidth="1"/>
    <col min="41" max="41" width="9.69921875" bestFit="1" customWidth="1"/>
    <col min="42" max="42" width="11.8984375" bestFit="1" customWidth="1"/>
    <col min="43" max="43" width="7.5" bestFit="1" customWidth="1"/>
    <col min="44" max="44" width="11.8984375" bestFit="1" customWidth="1"/>
    <col min="45" max="45" width="5.296875" bestFit="1" customWidth="1"/>
    <col min="46" max="46" width="6.3984375" bestFit="1" customWidth="1"/>
    <col min="47" max="47" width="7.5" bestFit="1" customWidth="1"/>
    <col min="48" max="49" width="9.69921875" bestFit="1" customWidth="1"/>
    <col min="50" max="51" width="7.5" bestFit="1" customWidth="1"/>
    <col min="52" max="52" width="8.59765625" bestFit="1" customWidth="1"/>
    <col min="53" max="53" width="9.69921875" bestFit="1" customWidth="1"/>
    <col min="54" max="55" width="11.8984375" bestFit="1" customWidth="1"/>
    <col min="56" max="56" width="9.69921875" bestFit="1" customWidth="1"/>
    <col min="57" max="58" width="11.8984375" bestFit="1" customWidth="1"/>
    <col min="59" max="59" width="8.59765625" bestFit="1" customWidth="1"/>
    <col min="60" max="60" width="9.69921875" bestFit="1" customWidth="1"/>
    <col min="61" max="61" width="11.8984375" bestFit="1" customWidth="1"/>
    <col min="62" max="62" width="9.69921875" bestFit="1" customWidth="1"/>
    <col min="63" max="63" width="11.8984375" bestFit="1" customWidth="1"/>
    <col min="64" max="64" width="8.59765625" bestFit="1" customWidth="1"/>
    <col min="65" max="65" width="9.69921875" bestFit="1" customWidth="1"/>
    <col min="66" max="66" width="11.8984375" bestFit="1" customWidth="1"/>
    <col min="67" max="67" width="8.59765625" bestFit="1" customWidth="1"/>
    <col min="68" max="68" width="9.69921875" bestFit="1" customWidth="1"/>
    <col min="69" max="69" width="8.59765625" bestFit="1" customWidth="1"/>
    <col min="70" max="70" width="10.796875" bestFit="1" customWidth="1"/>
    <col min="71" max="71" width="8.59765625" bestFit="1" customWidth="1"/>
    <col min="72" max="72" width="10.796875" bestFit="1" customWidth="1"/>
    <col min="73" max="73" width="5.296875" bestFit="1" customWidth="1"/>
    <col min="74" max="74" width="8.59765625" bestFit="1" customWidth="1"/>
    <col min="75" max="75" width="7.5" bestFit="1" customWidth="1"/>
    <col min="76" max="76" width="9.69921875" bestFit="1" customWidth="1"/>
    <col min="77" max="77" width="11.8984375" bestFit="1" customWidth="1"/>
    <col min="78" max="78" width="8.59765625" bestFit="1" customWidth="1"/>
    <col min="79" max="79" width="7.5" bestFit="1" customWidth="1"/>
    <col min="80" max="80" width="11.8984375" bestFit="1" customWidth="1"/>
    <col min="81" max="82" width="8.59765625" bestFit="1" customWidth="1"/>
    <col min="83" max="83" width="11.8984375" bestFit="1" customWidth="1"/>
    <col min="84" max="84" width="9.69921875" bestFit="1" customWidth="1"/>
    <col min="85" max="85" width="11.8984375" bestFit="1" customWidth="1"/>
    <col min="86" max="86" width="8.59765625" bestFit="1" customWidth="1"/>
    <col min="87" max="87" width="6.3984375" bestFit="1" customWidth="1"/>
    <col min="88" max="88" width="8.59765625" bestFit="1" customWidth="1"/>
    <col min="89" max="89" width="5.296875" bestFit="1" customWidth="1"/>
    <col min="90" max="90" width="7.5" bestFit="1" customWidth="1"/>
    <col min="91" max="92" width="8.59765625" bestFit="1" customWidth="1"/>
    <col min="93" max="94" width="7.5" bestFit="1" customWidth="1"/>
    <col min="95" max="95" width="6.3984375" bestFit="1" customWidth="1"/>
    <col min="96" max="96" width="8.59765625" bestFit="1" customWidth="1"/>
    <col min="97" max="97" width="11.8984375" bestFit="1" customWidth="1"/>
    <col min="98" max="99" width="8.59765625" bestFit="1" customWidth="1"/>
    <col min="100" max="100" width="9.69921875" bestFit="1" customWidth="1"/>
    <col min="101" max="101" width="10.796875" bestFit="1" customWidth="1"/>
    <col min="102" max="102" width="7.5" bestFit="1" customWidth="1"/>
    <col min="103" max="103" width="10.796875" bestFit="1" customWidth="1"/>
    <col min="104" max="104" width="6.3984375" bestFit="1" customWidth="1"/>
    <col min="105" max="105" width="10.796875" bestFit="1" customWidth="1"/>
    <col min="106" max="106" width="7.5" bestFit="1" customWidth="1"/>
    <col min="107" max="107" width="8.59765625" bestFit="1" customWidth="1"/>
    <col min="108" max="108" width="7.5" bestFit="1" customWidth="1"/>
    <col min="109" max="109" width="6.3984375" bestFit="1" customWidth="1"/>
    <col min="110" max="110" width="7.5" bestFit="1" customWidth="1"/>
    <col min="111" max="111" width="8.59765625" bestFit="1" customWidth="1"/>
    <col min="112" max="113" width="7.5" bestFit="1" customWidth="1"/>
    <col min="114" max="114" width="10.796875" bestFit="1" customWidth="1"/>
    <col min="115" max="115" width="5.296875" bestFit="1" customWidth="1"/>
    <col min="116" max="117" width="8.59765625" bestFit="1" customWidth="1"/>
    <col min="118" max="118" width="7.5" bestFit="1" customWidth="1"/>
    <col min="119" max="119" width="5.296875" bestFit="1" customWidth="1"/>
    <col min="120" max="121" width="7.5" bestFit="1" customWidth="1"/>
    <col min="122" max="122" width="6.3984375" bestFit="1" customWidth="1"/>
    <col min="123" max="123" width="7.5" bestFit="1" customWidth="1"/>
    <col min="124" max="124" width="8.59765625" bestFit="1" customWidth="1"/>
    <col min="125" max="125" width="7.5" bestFit="1" customWidth="1"/>
    <col min="126" max="126" width="8.59765625" bestFit="1" customWidth="1"/>
    <col min="127" max="127" width="10.796875" bestFit="1" customWidth="1"/>
    <col min="128" max="129" width="9.69921875" bestFit="1" customWidth="1"/>
    <col min="130" max="131" width="6.3984375" bestFit="1" customWidth="1"/>
    <col min="132" max="132" width="3.09765625" bestFit="1" customWidth="1"/>
    <col min="133" max="134" width="7.5" bestFit="1" customWidth="1"/>
    <col min="135" max="135" width="6.3984375" bestFit="1" customWidth="1"/>
    <col min="136" max="137" width="5.296875" bestFit="1" customWidth="1"/>
    <col min="138" max="140" width="6.3984375" bestFit="1" customWidth="1"/>
    <col min="141" max="143" width="7.5" bestFit="1" customWidth="1"/>
    <col min="144" max="144" width="8.59765625" bestFit="1" customWidth="1"/>
    <col min="145" max="145" width="7.5" bestFit="1" customWidth="1"/>
    <col min="146" max="146" width="9.69921875" bestFit="1" customWidth="1"/>
    <col min="147" max="147" width="4.19921875" bestFit="1" customWidth="1"/>
    <col min="148" max="148" width="6.3984375" bestFit="1" customWidth="1"/>
    <col min="149" max="150" width="10.796875" bestFit="1" customWidth="1"/>
    <col min="151" max="151" width="4.19921875" bestFit="1" customWidth="1"/>
    <col min="152" max="152" width="6.3984375" bestFit="1" customWidth="1"/>
    <col min="153" max="153" width="4.19921875" bestFit="1" customWidth="1"/>
    <col min="154" max="154" width="6.3984375" bestFit="1" customWidth="1"/>
    <col min="155" max="155" width="4.19921875" bestFit="1" customWidth="1"/>
    <col min="156" max="157" width="7.5" bestFit="1" customWidth="1"/>
    <col min="158" max="158" width="4.19921875" bestFit="1" customWidth="1"/>
    <col min="159" max="163" width="7.5" bestFit="1" customWidth="1"/>
    <col min="164" max="164" width="6.3984375" bestFit="1" customWidth="1"/>
    <col min="165" max="166" width="7.5" bestFit="1" customWidth="1"/>
    <col min="167" max="167" width="4.19921875" bestFit="1" customWidth="1"/>
    <col min="168" max="168" width="6.3984375" bestFit="1" customWidth="1"/>
    <col min="169" max="171" width="7.5" bestFit="1" customWidth="1"/>
    <col min="172" max="173" width="4.19921875" bestFit="1" customWidth="1"/>
    <col min="174" max="174" width="7.5" bestFit="1" customWidth="1"/>
    <col min="175" max="175" width="4.19921875" bestFit="1" customWidth="1"/>
    <col min="176" max="176" width="6.3984375" bestFit="1" customWidth="1"/>
    <col min="177" max="177" width="4.19921875" bestFit="1" customWidth="1"/>
    <col min="178" max="179" width="6.3984375" bestFit="1" customWidth="1"/>
    <col min="180" max="180" width="9.69921875" bestFit="1" customWidth="1"/>
    <col min="181" max="181" width="4.19921875" bestFit="1" customWidth="1"/>
    <col min="182" max="182" width="5.296875" bestFit="1" customWidth="1"/>
    <col min="183" max="183" width="8.59765625" bestFit="1" customWidth="1"/>
    <col min="184" max="184" width="10.796875" bestFit="1" customWidth="1"/>
    <col min="185" max="185" width="7.5" bestFit="1" customWidth="1"/>
    <col min="186" max="187" width="8.59765625" bestFit="1" customWidth="1"/>
    <col min="188" max="188" width="5.296875" bestFit="1" customWidth="1"/>
    <col min="189" max="189" width="10.796875" bestFit="1" customWidth="1"/>
    <col min="190" max="190" width="7.5" bestFit="1" customWidth="1"/>
    <col min="191" max="191" width="9.69921875" bestFit="1" customWidth="1"/>
    <col min="192" max="193" width="8.59765625" bestFit="1" customWidth="1"/>
    <col min="194" max="194" width="7.5" bestFit="1" customWidth="1"/>
    <col min="195" max="195" width="10.796875" bestFit="1" customWidth="1"/>
    <col min="196" max="196" width="7.5" bestFit="1" customWidth="1"/>
    <col min="197" max="198" width="8.59765625" bestFit="1" customWidth="1"/>
    <col min="199" max="200" width="7.5" bestFit="1" customWidth="1"/>
    <col min="201" max="201" width="10.796875" bestFit="1" customWidth="1"/>
    <col min="202" max="203" width="7.5" bestFit="1" customWidth="1"/>
    <col min="204" max="204" width="5.296875" bestFit="1" customWidth="1"/>
    <col min="205" max="206" width="10.796875" bestFit="1" customWidth="1"/>
    <col min="207" max="207" width="9.69921875" bestFit="1" customWidth="1"/>
    <col min="208" max="208" width="5.296875" bestFit="1" customWidth="1"/>
    <col min="209" max="209" width="10.796875" bestFit="1" customWidth="1"/>
    <col min="210" max="210" width="6.3984375" bestFit="1" customWidth="1"/>
    <col min="211" max="213" width="9.69921875" bestFit="1" customWidth="1"/>
    <col min="214" max="216" width="6.3984375" bestFit="1" customWidth="1"/>
    <col min="217" max="217" width="10.796875" bestFit="1" customWidth="1"/>
    <col min="218" max="222" width="6.3984375" bestFit="1" customWidth="1"/>
    <col min="223" max="223" width="7.5" bestFit="1" customWidth="1"/>
    <col min="224" max="225" width="10.796875" bestFit="1" customWidth="1"/>
    <col min="226" max="235" width="7.5" bestFit="1" customWidth="1"/>
    <col min="236" max="236" width="8.59765625" bestFit="1" customWidth="1"/>
    <col min="237" max="237" width="9.69921875" bestFit="1" customWidth="1"/>
    <col min="238" max="238" width="11.3984375" bestFit="1" customWidth="1"/>
  </cols>
  <sheetData>
    <row r="1" spans="1:10">
      <c r="A1" s="1"/>
      <c r="B1" s="1"/>
      <c r="C1" t="s">
        <v>19</v>
      </c>
      <c r="D1" t="s">
        <v>18</v>
      </c>
    </row>
    <row r="2" spans="1:10">
      <c r="A2" s="1"/>
      <c r="B2" s="1"/>
      <c r="C2" t="str">
        <f>MID(CRYPTOWAT[[#This Row],[Name]],1,FIND(":",A2,1)-1)</f>
        <v>bitfinex</v>
      </c>
      <c r="D2" t="str">
        <f>MID(CRYPTOWAT[[#This Row],[Name]],FIND(":",A2,1)+1,100)</f>
        <v>bccbtc</v>
      </c>
      <c r="F2" s="13" t="s">
        <v>19</v>
      </c>
      <c r="G2" t="s">
        <v>21</v>
      </c>
      <c r="I2" s="13" t="s">
        <v>19</v>
      </c>
      <c r="J2" t="s">
        <v>22</v>
      </c>
    </row>
    <row r="3" spans="1:10">
      <c r="A3" s="1"/>
      <c r="B3" s="1"/>
      <c r="C3" t="str">
        <f>MID(CRYPTOWAT[[#This Row],[Name]],1,FIND(":",A3,1)-1)</f>
        <v>bitfinex</v>
      </c>
      <c r="D3" t="str">
        <f>MID(CRYPTOWAT[[#This Row],[Name]],FIND(":",A3,1)+1,100)</f>
        <v>bccusd</v>
      </c>
    </row>
    <row r="4" spans="1:10">
      <c r="A4" s="1"/>
      <c r="B4" s="1"/>
      <c r="C4" t="str">
        <f>MID(CRYPTOWAT[[#This Row],[Name]],1,FIND(":",A4,1)-1)</f>
        <v>bitfinex</v>
      </c>
      <c r="D4" t="str">
        <f>MID(CRYPTOWAT[[#This Row],[Name]],FIND(":",A4,1)+1,100)</f>
        <v>bchbtc</v>
      </c>
      <c r="G4" t="s">
        <v>81</v>
      </c>
      <c r="J4" t="s">
        <v>81</v>
      </c>
    </row>
    <row r="5" spans="1:10">
      <c r="A5" s="1"/>
      <c r="B5" s="1"/>
      <c r="C5" t="str">
        <f>MID(CRYPTOWAT[[#This Row],[Name]],1,FIND(":",A5,1)-1)</f>
        <v>bitfinex</v>
      </c>
      <c r="D5" t="str">
        <f>MID(CRYPTOWAT[[#This Row],[Name]],FIND(":",A5,1)+1,100)</f>
        <v>bcheth</v>
      </c>
      <c r="F5" s="14" t="s">
        <v>23</v>
      </c>
      <c r="G5" s="1">
        <v>0.87990000000000002</v>
      </c>
      <c r="H5" s="1"/>
      <c r="I5" s="14" t="s">
        <v>25</v>
      </c>
      <c r="J5" s="1">
        <v>0.1525</v>
      </c>
    </row>
    <row r="6" spans="1:10">
      <c r="A6" s="1"/>
      <c r="B6" s="1"/>
      <c r="C6" t="str">
        <f>MID(CRYPTOWAT[[#This Row],[Name]],1,FIND(":",A6,1)-1)</f>
        <v>bitfinex</v>
      </c>
      <c r="D6" t="str">
        <f>MID(CRYPTOWAT[[#This Row],[Name]],FIND(":",A6,1)+1,100)</f>
        <v>bchusd</v>
      </c>
      <c r="F6" s="14" t="s">
        <v>24</v>
      </c>
      <c r="G6" s="1">
        <v>4049.9</v>
      </c>
      <c r="H6" s="1"/>
      <c r="I6" s="14" t="s">
        <v>31</v>
      </c>
      <c r="J6" s="1">
        <v>4529</v>
      </c>
    </row>
    <row r="7" spans="1:10">
      <c r="A7" s="1"/>
      <c r="B7" s="1"/>
      <c r="C7" t="str">
        <f>MID(CRYPTOWAT[[#This Row],[Name]],1,FIND(":",A7,1)-1)</f>
        <v>bitfinex</v>
      </c>
      <c r="D7" t="str">
        <f>MID(CRYPTOWAT[[#This Row],[Name]],FIND(":",A7,1)+1,100)</f>
        <v>bcubtc</v>
      </c>
      <c r="F7" s="14" t="s">
        <v>25</v>
      </c>
      <c r="G7" s="1">
        <v>0.15273999999999999</v>
      </c>
      <c r="H7" s="1"/>
      <c r="I7" s="14" t="s">
        <v>32</v>
      </c>
      <c r="J7" s="1">
        <v>3.2929999999999998E-5</v>
      </c>
    </row>
    <row r="8" spans="1:10">
      <c r="A8" s="1"/>
      <c r="B8" s="1"/>
      <c r="C8" t="str">
        <f>MID(CRYPTOWAT[[#This Row],[Name]],1,FIND(":",A8,1)-1)</f>
        <v>bitfinex</v>
      </c>
      <c r="D8" t="str">
        <f>MID(CRYPTOWAT[[#This Row],[Name]],FIND(":",A8,1)+1,100)</f>
        <v>bcuusd</v>
      </c>
      <c r="F8" s="14" t="s">
        <v>26</v>
      </c>
      <c r="G8" s="1">
        <v>2.14</v>
      </c>
      <c r="H8" s="1"/>
      <c r="I8" s="14" t="s">
        <v>33</v>
      </c>
      <c r="J8" s="1">
        <v>0</v>
      </c>
    </row>
    <row r="9" spans="1:10">
      <c r="A9" s="1"/>
      <c r="B9" s="1"/>
      <c r="C9" t="str">
        <f>MID(CRYPTOWAT[[#This Row],[Name]],1,FIND(":",A9,1)-1)</f>
        <v>bitfinex</v>
      </c>
      <c r="D9" t="str">
        <f>MID(CRYPTOWAT[[#This Row],[Name]],FIND(":",A9,1)+1,100)</f>
        <v>bfxusd</v>
      </c>
      <c r="F9" s="14" t="s">
        <v>27</v>
      </c>
      <c r="G9" s="1">
        <v>690.05</v>
      </c>
      <c r="H9" s="1"/>
      <c r="I9" s="14" t="s">
        <v>34</v>
      </c>
      <c r="J9" s="1">
        <v>0</v>
      </c>
    </row>
    <row r="10" spans="1:10">
      <c r="A10" s="1"/>
      <c r="B10" s="1"/>
      <c r="C10" t="str">
        <f>MID(CRYPTOWAT[[#This Row],[Name]],1,FIND(":",A10,1)-1)</f>
        <v>bitfinex</v>
      </c>
      <c r="D10" t="str">
        <f>MID(CRYPTOWAT[[#This Row],[Name]],FIND(":",A10,1)+1,100)</f>
        <v>btcusd</v>
      </c>
      <c r="F10" s="14" t="s">
        <v>28</v>
      </c>
      <c r="G10" s="1">
        <v>0.14699999999999999</v>
      </c>
      <c r="H10" s="1"/>
      <c r="I10" s="14" t="s">
        <v>35</v>
      </c>
      <c r="J10" s="1">
        <v>7.4648729999999996E-2</v>
      </c>
    </row>
    <row r="11" spans="1:10">
      <c r="A11" s="1"/>
      <c r="B11" s="1"/>
      <c r="C11" t="str">
        <f>MID(CRYPTOWAT[[#This Row],[Name]],1,FIND(":",A11,1)-1)</f>
        <v>bitfinex</v>
      </c>
      <c r="D11" t="str">
        <f>MID(CRYPTOWAT[[#This Row],[Name]],FIND(":",A11,1)+1,100)</f>
        <v>dashbtc</v>
      </c>
      <c r="F11" s="14" t="s">
        <v>29</v>
      </c>
      <c r="G11" s="1">
        <v>630.02</v>
      </c>
      <c r="H11" s="1"/>
      <c r="I11" s="14" t="s">
        <v>36</v>
      </c>
      <c r="J11" s="1">
        <v>337.97550000000001</v>
      </c>
    </row>
    <row r="12" spans="1:10">
      <c r="A12" s="1"/>
      <c r="B12" s="1"/>
      <c r="C12" t="str">
        <f>MID(CRYPTOWAT[[#This Row],[Name]],1,FIND(":",A12,1)-1)</f>
        <v>bitfinex</v>
      </c>
      <c r="D12" t="str">
        <f>MID(CRYPTOWAT[[#This Row],[Name]],FIND(":",A12,1)+1,100)</f>
        <v>dashusd</v>
      </c>
      <c r="F12" s="14" t="s">
        <v>30</v>
      </c>
      <c r="G12" s="1">
        <v>0.99980000000000002</v>
      </c>
      <c r="H12" s="1"/>
      <c r="I12" s="14" t="s">
        <v>37</v>
      </c>
      <c r="J12" s="1">
        <v>4.0199999999999996E-6</v>
      </c>
    </row>
    <row r="13" spans="1:10">
      <c r="A13" s="1"/>
      <c r="B13" s="1"/>
      <c r="C13" t="str">
        <f>MID(CRYPTOWAT[[#This Row],[Name]],1,FIND(":",A13,1)-1)</f>
        <v>bitfinex</v>
      </c>
      <c r="D13" t="str">
        <f>MID(CRYPTOWAT[[#This Row],[Name]],FIND(":",A13,1)+1,100)</f>
        <v>eosbtc</v>
      </c>
      <c r="F13" s="14" t="s">
        <v>31</v>
      </c>
      <c r="G13" s="1">
        <v>4532.1000000000004</v>
      </c>
      <c r="H13" s="1"/>
      <c r="I13" s="14" t="s">
        <v>41</v>
      </c>
      <c r="J13" s="1">
        <v>4.0637E-3</v>
      </c>
    </row>
    <row r="14" spans="1:10">
      <c r="A14" s="1"/>
      <c r="B14" s="1"/>
      <c r="C14" t="str">
        <f>MID(CRYPTOWAT[[#This Row],[Name]],1,FIND(":",A14,1)-1)</f>
        <v>bitfinex</v>
      </c>
      <c r="D14" t="str">
        <f>MID(CRYPTOWAT[[#This Row],[Name]],FIND(":",A14,1)+1,100)</f>
        <v>eoseth</v>
      </c>
      <c r="F14" s="14" t="s">
        <v>35</v>
      </c>
      <c r="G14" s="1">
        <v>7.4066999999999994E-2</v>
      </c>
      <c r="H14" s="1"/>
      <c r="I14" s="14" t="s">
        <v>42</v>
      </c>
      <c r="J14" s="1">
        <v>5.6918490000000002E-2</v>
      </c>
    </row>
    <row r="15" spans="1:10">
      <c r="A15" s="1"/>
      <c r="B15" s="1"/>
      <c r="C15" t="str">
        <f>MID(CRYPTOWAT[[#This Row],[Name]],1,FIND(":",A15,1)-1)</f>
        <v>bitfinex</v>
      </c>
      <c r="D15" t="str">
        <f>MID(CRYPTOWAT[[#This Row],[Name]],FIND(":",A15,1)+1,100)</f>
        <v>eosusd</v>
      </c>
      <c r="F15" s="14" t="s">
        <v>36</v>
      </c>
      <c r="G15" s="1">
        <v>337.56</v>
      </c>
      <c r="H15" s="1"/>
      <c r="I15" s="14" t="s">
        <v>43</v>
      </c>
      <c r="J15" s="1">
        <v>18.489999999999998</v>
      </c>
    </row>
    <row r="16" spans="1:10">
      <c r="A16" s="1"/>
      <c r="B16" s="1"/>
      <c r="C16" t="str">
        <f>MID(CRYPTOWAT[[#This Row],[Name]],1,FIND(":",A16,1)-1)</f>
        <v>bitfinex</v>
      </c>
      <c r="D16" t="str">
        <f>MID(CRYPTOWAT[[#This Row],[Name]],FIND(":",A16,1)+1,100)</f>
        <v>etcbtc</v>
      </c>
      <c r="F16" s="14" t="s">
        <v>38</v>
      </c>
      <c r="G16" s="1">
        <v>1.9235000000000001E-4</v>
      </c>
      <c r="H16" s="1"/>
      <c r="I16" s="14" t="s">
        <v>44</v>
      </c>
      <c r="J16" s="1">
        <v>7.1796460000000006E-2</v>
      </c>
    </row>
    <row r="17" spans="1:10">
      <c r="A17" s="1"/>
      <c r="B17" s="1"/>
      <c r="C17" t="str">
        <f>MID(CRYPTOWAT[[#This Row],[Name]],1,FIND(":",A17,1)-1)</f>
        <v>bitfinex</v>
      </c>
      <c r="D17" t="str">
        <f>MID(CRYPTOWAT[[#This Row],[Name]],FIND(":",A17,1)+1,100)</f>
        <v>etcusd</v>
      </c>
      <c r="F17" s="14" t="s">
        <v>39</v>
      </c>
      <c r="G17" s="1">
        <v>2.6689999999999999E-3</v>
      </c>
      <c r="H17" s="1"/>
      <c r="I17" s="14" t="s">
        <v>45</v>
      </c>
      <c r="J17" s="1">
        <v>325</v>
      </c>
    </row>
    <row r="18" spans="1:10">
      <c r="A18" s="1"/>
      <c r="B18" s="1"/>
      <c r="C18" t="str">
        <f>MID(CRYPTOWAT[[#This Row],[Name]],1,FIND(":",A18,1)-1)</f>
        <v>bitfinex</v>
      </c>
      <c r="D18" t="str">
        <f>MID(CRYPTOWAT[[#This Row],[Name]],FIND(":",A18,1)+1,100)</f>
        <v>ethbtc</v>
      </c>
      <c r="F18" s="14" t="s">
        <v>40</v>
      </c>
      <c r="G18" s="1">
        <v>0.87548999999999999</v>
      </c>
      <c r="H18" s="1"/>
      <c r="I18" s="14" t="s">
        <v>46</v>
      </c>
      <c r="J18" s="1">
        <v>5.6909999999999999E-3</v>
      </c>
    </row>
    <row r="19" spans="1:10">
      <c r="A19" s="1"/>
      <c r="B19" s="1"/>
      <c r="C19" t="str">
        <f>MID(CRYPTOWAT[[#This Row],[Name]],1,FIND(":",A19,1)-1)</f>
        <v>bitfinex</v>
      </c>
      <c r="D19" t="str">
        <f>MID(CRYPTOWAT[[#This Row],[Name]],FIND(":",A19,1)+1,100)</f>
        <v>ethusd</v>
      </c>
      <c r="F19" s="14" t="s">
        <v>41</v>
      </c>
      <c r="G19" s="1">
        <v>4.0588999999999998E-3</v>
      </c>
      <c r="H19" s="1"/>
      <c r="I19" s="14" t="s">
        <v>47</v>
      </c>
      <c r="J19" s="1">
        <v>3.3100230000000001E-2</v>
      </c>
    </row>
    <row r="20" spans="1:10">
      <c r="A20" s="1"/>
      <c r="B20" s="1"/>
      <c r="C20" t="str">
        <f>MID(CRYPTOWAT[[#This Row],[Name]],1,FIND(":",A20,1)-1)</f>
        <v>bitfinex</v>
      </c>
      <c r="D20" t="str">
        <f>MID(CRYPTOWAT[[#This Row],[Name]],FIND(":",A20,1)+1,100)</f>
        <v>iotbtc</v>
      </c>
      <c r="F20" s="14" t="s">
        <v>43</v>
      </c>
      <c r="G20" s="1">
        <v>18.428999999999998</v>
      </c>
      <c r="H20" s="1"/>
      <c r="I20" s="14" t="s">
        <v>48</v>
      </c>
      <c r="J20" s="1">
        <v>0.46157496999999997</v>
      </c>
    </row>
    <row r="21" spans="1:10">
      <c r="A21" s="1"/>
      <c r="B21" s="1"/>
      <c r="C21" t="str">
        <f>MID(CRYPTOWAT[[#This Row],[Name]],1,FIND(":",A21,1)-1)</f>
        <v>bitfinex</v>
      </c>
      <c r="D21" t="str">
        <f>MID(CRYPTOWAT[[#This Row],[Name]],FIND(":",A21,1)+1,100)</f>
        <v>ioteth</v>
      </c>
      <c r="F21" s="14" t="s">
        <v>44</v>
      </c>
      <c r="G21" s="1">
        <v>7.1756E-2</v>
      </c>
      <c r="H21" s="1"/>
      <c r="I21" s="14" t="s">
        <v>49</v>
      </c>
      <c r="J21" s="1">
        <v>1.0726E-4</v>
      </c>
    </row>
    <row r="22" spans="1:10">
      <c r="A22" s="1"/>
      <c r="B22" s="1"/>
      <c r="C22" t="str">
        <f>MID(CRYPTOWAT[[#This Row],[Name]],1,FIND(":",A22,1)-1)</f>
        <v>bitfinex</v>
      </c>
      <c r="D22" t="str">
        <f>MID(CRYPTOWAT[[#This Row],[Name]],FIND(":",A22,1)+1,100)</f>
        <v>iotusd</v>
      </c>
      <c r="F22" s="14" t="s">
        <v>45</v>
      </c>
      <c r="G22" s="1">
        <v>325.48</v>
      </c>
      <c r="H22" s="1"/>
      <c r="I22" s="14" t="s">
        <v>53</v>
      </c>
      <c r="J22" s="1">
        <v>1.57654E-3</v>
      </c>
    </row>
    <row r="23" spans="1:10">
      <c r="A23" s="1"/>
      <c r="B23" s="1"/>
      <c r="C23" t="str">
        <f>MID(CRYPTOWAT[[#This Row],[Name]],1,FIND(":",A23,1)-1)</f>
        <v>bitfinex</v>
      </c>
      <c r="D23" t="str">
        <f>MID(CRYPTOWAT[[#This Row],[Name]],FIND(":",A23,1)+1,100)</f>
        <v>ltcbtc</v>
      </c>
      <c r="F23" s="14" t="s">
        <v>50</v>
      </c>
      <c r="G23" s="1">
        <v>1.5482000000000001E-4</v>
      </c>
      <c r="H23" s="1"/>
      <c r="I23" s="14" t="s">
        <v>54</v>
      </c>
      <c r="J23" s="1">
        <v>2.1999990000000001E-2</v>
      </c>
    </row>
    <row r="24" spans="1:10">
      <c r="A24" s="1"/>
      <c r="B24" s="1"/>
      <c r="C24" t="str">
        <f>MID(CRYPTOWAT[[#This Row],[Name]],1,FIND(":",A24,1)-1)</f>
        <v>bitfinex</v>
      </c>
      <c r="D24" t="str">
        <f>MID(CRYPTOWAT[[#This Row],[Name]],FIND(":",A24,1)+1,100)</f>
        <v>ltcusd</v>
      </c>
      <c r="F24" s="14" t="s">
        <v>51</v>
      </c>
      <c r="G24" s="1">
        <v>2.14E-3</v>
      </c>
      <c r="H24" s="1"/>
      <c r="I24" s="14" t="s">
        <v>55</v>
      </c>
      <c r="J24" s="1">
        <v>1.7240999999999999E-2</v>
      </c>
    </row>
    <row r="25" spans="1:10">
      <c r="A25" s="1"/>
      <c r="B25" s="1"/>
      <c r="C25" t="str">
        <f>MID(CRYPTOWAT[[#This Row],[Name]],1,FIND(":",A25,1)-1)</f>
        <v>bitfinex</v>
      </c>
      <c r="D25" t="str">
        <f>MID(CRYPTOWAT[[#This Row],[Name]],FIND(":",A25,1)+1,100)</f>
        <v>omgbtc</v>
      </c>
      <c r="F25" s="14" t="s">
        <v>52</v>
      </c>
      <c r="G25" s="1">
        <v>0.69796999999999998</v>
      </c>
      <c r="H25" s="1"/>
      <c r="I25" s="14" t="s">
        <v>56</v>
      </c>
      <c r="J25" s="1">
        <v>78.354100000000003</v>
      </c>
    </row>
    <row r="26" spans="1:10">
      <c r="A26" s="1"/>
      <c r="B26" s="1"/>
      <c r="C26" t="str">
        <f>MID(CRYPTOWAT[[#This Row],[Name]],1,FIND(":",A26,1)-1)</f>
        <v>bitfinex</v>
      </c>
      <c r="D26" t="str">
        <f>MID(CRYPTOWAT[[#This Row],[Name]],FIND(":",A26,1)+1,100)</f>
        <v>omgeth</v>
      </c>
      <c r="F26" s="14" t="s">
        <v>55</v>
      </c>
      <c r="G26" s="1">
        <v>1.7288999999999999E-2</v>
      </c>
      <c r="H26" s="1"/>
      <c r="I26" s="14" t="s">
        <v>57</v>
      </c>
      <c r="J26" s="1">
        <v>0.66145010000000004</v>
      </c>
    </row>
    <row r="27" spans="1:10">
      <c r="A27" s="1"/>
      <c r="B27" s="1"/>
      <c r="C27" t="str">
        <f>MID(CRYPTOWAT[[#This Row],[Name]],1,FIND(":",A27,1)-1)</f>
        <v>bitfinex</v>
      </c>
      <c r="D27" t="str">
        <f>MID(CRYPTOWAT[[#This Row],[Name]],FIND(":",A27,1)+1,100)</f>
        <v>omgusd</v>
      </c>
      <c r="F27" s="14" t="s">
        <v>56</v>
      </c>
      <c r="G27" s="1">
        <v>78.378</v>
      </c>
      <c r="H27" s="1"/>
      <c r="I27" s="14" t="s">
        <v>58</v>
      </c>
      <c r="J27" s="1">
        <v>1.4516999999999999E-4</v>
      </c>
    </row>
    <row r="28" spans="1:10">
      <c r="A28" s="1"/>
      <c r="B28" s="1"/>
      <c r="C28" t="str">
        <f>MID(CRYPTOWAT[[#This Row],[Name]],1,FIND(":",A28,1)-1)</f>
        <v>bitfinex</v>
      </c>
      <c r="D28" t="str">
        <f>MID(CRYPTOWAT[[#This Row],[Name]],FIND(":",A28,1)+1,100)</f>
        <v>xmrbtc</v>
      </c>
      <c r="F28" s="14" t="s">
        <v>63</v>
      </c>
      <c r="G28" s="1">
        <v>2.4399999999999999E-3</v>
      </c>
      <c r="H28" s="1"/>
      <c r="I28" s="14" t="s">
        <v>59</v>
      </c>
      <c r="J28" s="1">
        <v>3.2885999999999999E-4</v>
      </c>
    </row>
    <row r="29" spans="1:10">
      <c r="A29" s="1"/>
      <c r="B29" s="1"/>
      <c r="C29" t="str">
        <f>MID(CRYPTOWAT[[#This Row],[Name]],1,FIND(":",A29,1)-1)</f>
        <v>bitfinex</v>
      </c>
      <c r="D29" t="str">
        <f>MID(CRYPTOWAT[[#This Row],[Name]],FIND(":",A29,1)+1,100)</f>
        <v>xmrusd</v>
      </c>
      <c r="F29" s="14" t="s">
        <v>64</v>
      </c>
      <c r="G29" s="1">
        <v>3.4100999999999999E-2</v>
      </c>
      <c r="H29" s="1"/>
      <c r="I29" s="14" t="s">
        <v>60</v>
      </c>
      <c r="J29" s="1">
        <v>2.3920000000000001E-5</v>
      </c>
    </row>
    <row r="30" spans="1:10">
      <c r="A30" s="1"/>
      <c r="B30" s="1"/>
      <c r="C30" t="str">
        <f>MID(CRYPTOWAT[[#This Row],[Name]],1,FIND(":",A30,1)-1)</f>
        <v>bitfinex</v>
      </c>
      <c r="D30" t="str">
        <f>MID(CRYPTOWAT[[#This Row],[Name]],FIND(":",A30,1)+1,100)</f>
        <v>xrpbtc</v>
      </c>
      <c r="F30" s="14" t="s">
        <v>65</v>
      </c>
      <c r="G30" s="1">
        <v>11.15</v>
      </c>
      <c r="H30" s="1"/>
      <c r="I30" s="14" t="s">
        <v>61</v>
      </c>
      <c r="J30" s="1">
        <v>0.10734006</v>
      </c>
    </row>
    <row r="31" spans="1:10">
      <c r="A31" s="1"/>
      <c r="B31" s="1"/>
      <c r="C31" t="str">
        <f>MID(CRYPTOWAT[[#This Row],[Name]],1,FIND(":",A31,1)-1)</f>
        <v>bitfinex</v>
      </c>
      <c r="D31" t="str">
        <f>MID(CRYPTOWAT[[#This Row],[Name]],FIND(":",A31,1)+1,100)</f>
        <v>xrpusd</v>
      </c>
      <c r="F31" s="14" t="s">
        <v>73</v>
      </c>
      <c r="G31" s="1">
        <v>2.6075999999999998E-2</v>
      </c>
      <c r="H31" s="1"/>
      <c r="I31" s="14" t="s">
        <v>62</v>
      </c>
      <c r="J31" s="1">
        <v>9.2991999999999999E-4</v>
      </c>
    </row>
    <row r="32" spans="1:10">
      <c r="A32" s="1"/>
      <c r="B32" s="1"/>
      <c r="C32" t="str">
        <f>MID(CRYPTOWAT[[#This Row],[Name]],1,FIND(":",A32,1)-1)</f>
        <v>bitfinex</v>
      </c>
      <c r="D32" t="str">
        <f>MID(CRYPTOWAT[[#This Row],[Name]],FIND(":",A32,1)+1,100)</f>
        <v>zecbtc</v>
      </c>
      <c r="F32" s="14" t="s">
        <v>74</v>
      </c>
      <c r="G32" s="1">
        <v>117.7</v>
      </c>
      <c r="H32" s="1"/>
      <c r="I32" s="14" t="s">
        <v>66</v>
      </c>
      <c r="J32" s="1">
        <v>5.1050100000000001E-3</v>
      </c>
    </row>
    <row r="33" spans="1:10">
      <c r="A33" s="1"/>
      <c r="B33" s="1"/>
      <c r="C33" t="str">
        <f>MID(CRYPTOWAT[[#This Row],[Name]],1,FIND(":",A33,1)-1)</f>
        <v>bitfinex</v>
      </c>
      <c r="D33" t="str">
        <f>MID(CRYPTOWAT[[#This Row],[Name]],FIND(":",A33,1)+1,100)</f>
        <v>zecusd</v>
      </c>
      <c r="F33" s="14" t="s">
        <v>75</v>
      </c>
      <c r="G33" s="1">
        <v>4.905E-5</v>
      </c>
      <c r="H33" s="1"/>
      <c r="I33" s="14" t="s">
        <v>67</v>
      </c>
      <c r="J33" s="1">
        <v>7.1093859999999995E-2</v>
      </c>
    </row>
    <row r="34" spans="1:10">
      <c r="A34" s="1"/>
      <c r="B34" s="1"/>
      <c r="C34" t="str">
        <f>MID(CRYPTOWAT[[#This Row],[Name]],1,FIND(":",A34,1)-1)</f>
        <v>bitflyer</v>
      </c>
      <c r="D34" t="str">
        <f>MID(CRYPTOWAT[[#This Row],[Name]],FIND(":",A34,1)+1,100)</f>
        <v>bchbtc</v>
      </c>
      <c r="F34" s="14" t="s">
        <v>76</v>
      </c>
      <c r="G34" s="1">
        <v>0.22248999999999999</v>
      </c>
      <c r="H34" s="1"/>
      <c r="I34" s="14" t="s">
        <v>68</v>
      </c>
      <c r="J34" s="1">
        <v>23.112884999999999</v>
      </c>
    </row>
    <row r="35" spans="1:10">
      <c r="A35" s="1"/>
      <c r="B35" s="1"/>
      <c r="C35" t="str">
        <f>MID(CRYPTOWAT[[#This Row],[Name]],1,FIND(":",A35,1)-1)</f>
        <v>bitflyer</v>
      </c>
      <c r="D35" t="str">
        <f>MID(CRYPTOWAT[[#This Row],[Name]],FIND(":",A35,1)+1,100)</f>
        <v>btcfxjpy</v>
      </c>
      <c r="F35" s="14" t="s">
        <v>77</v>
      </c>
      <c r="G35" s="1">
        <v>5.2499999999999998E-2</v>
      </c>
      <c r="H35" s="1"/>
      <c r="I35" s="14" t="s">
        <v>69</v>
      </c>
      <c r="J35" s="1">
        <v>3.2948999999999999E-4</v>
      </c>
    </row>
    <row r="36" spans="1:10">
      <c r="A36" s="1"/>
      <c r="B36" s="1"/>
      <c r="C36" t="str">
        <f>MID(CRYPTOWAT[[#This Row],[Name]],1,FIND(":",A36,1)-1)</f>
        <v>bitflyer</v>
      </c>
      <c r="D36" t="str">
        <f>MID(CRYPTOWAT[[#This Row],[Name]],FIND(":",A36,1)+1,100)</f>
        <v>btcjpy</v>
      </c>
      <c r="F36" s="14" t="s">
        <v>79</v>
      </c>
      <c r="G36" s="1">
        <v>237.8</v>
      </c>
      <c r="H36" s="1"/>
      <c r="I36" s="14" t="s">
        <v>70</v>
      </c>
      <c r="J36" s="1">
        <v>1.3218399999999999E-3</v>
      </c>
    </row>
    <row r="37" spans="1:10">
      <c r="A37" s="1"/>
      <c r="B37" s="1"/>
      <c r="C37" t="str">
        <f>MID(CRYPTOWAT[[#This Row],[Name]],1,FIND(":",A37,1)-1)</f>
        <v>bitflyer</v>
      </c>
      <c r="D37" t="str">
        <f>MID(CRYPTOWAT[[#This Row],[Name]],FIND(":",A37,1)+1,100)</f>
        <v>btcjpy-biweekly-futures</v>
      </c>
      <c r="I37" s="14" t="s">
        <v>71</v>
      </c>
      <c r="J37" s="1">
        <v>4.34E-6</v>
      </c>
    </row>
    <row r="38" spans="1:10">
      <c r="A38" s="1"/>
      <c r="B38" s="1"/>
      <c r="C38" t="str">
        <f>MID(CRYPTOWAT[[#This Row],[Name]],1,FIND(":",A38,1)-1)</f>
        <v>bitflyer</v>
      </c>
      <c r="D38" t="str">
        <f>MID(CRYPTOWAT[[#This Row],[Name]],FIND(":",A38,1)+1,100)</f>
        <v>btcjpy-weekly-futures</v>
      </c>
      <c r="I38" s="14" t="s">
        <v>72</v>
      </c>
      <c r="J38" s="1">
        <v>1.9658160000000001E-2</v>
      </c>
    </row>
    <row r="39" spans="1:10">
      <c r="A39" s="1"/>
      <c r="B39" s="1"/>
      <c r="C39" t="str">
        <f>MID(CRYPTOWAT[[#This Row],[Name]],1,FIND(":",A39,1)-1)</f>
        <v>bitflyer</v>
      </c>
      <c r="D39" t="str">
        <f>MID(CRYPTOWAT[[#This Row],[Name]],FIND(":",A39,1)+1,100)</f>
        <v>ethbtc</v>
      </c>
      <c r="I39" s="14" t="s">
        <v>73</v>
      </c>
      <c r="J39" s="1">
        <v>2.6113580000000001E-2</v>
      </c>
    </row>
    <row r="40" spans="1:10">
      <c r="A40" s="1"/>
      <c r="B40" s="1"/>
      <c r="C40" t="str">
        <f>MID(CRYPTOWAT[[#This Row],[Name]],1,FIND(":",A40,1)-1)</f>
        <v>bithumb</v>
      </c>
      <c r="D40" t="str">
        <f>MID(CRYPTOWAT[[#This Row],[Name]],FIND(":",A40,1)+1,100)</f>
        <v>bchkrw</v>
      </c>
      <c r="I40" s="14" t="s">
        <v>74</v>
      </c>
      <c r="J40" s="1">
        <v>118</v>
      </c>
    </row>
    <row r="41" spans="1:10">
      <c r="A41" s="1"/>
      <c r="B41" s="1"/>
      <c r="C41" t="str">
        <f>MID(CRYPTOWAT[[#This Row],[Name]],1,FIND(":",A41,1)-1)</f>
        <v>bithumb</v>
      </c>
      <c r="D41" t="str">
        <f>MID(CRYPTOWAT[[#This Row],[Name]],FIND(":",A41,1)+1,100)</f>
        <v>btckrw</v>
      </c>
      <c r="I41" s="14" t="s">
        <v>75</v>
      </c>
      <c r="J41" s="1">
        <v>4.8989999999999997E-5</v>
      </c>
    </row>
    <row r="42" spans="1:10">
      <c r="A42" s="1"/>
      <c r="B42" s="1"/>
      <c r="C42" t="str">
        <f>MID(CRYPTOWAT[[#This Row],[Name]],1,FIND(":",A42,1)-1)</f>
        <v>bithumb</v>
      </c>
      <c r="D42" t="str">
        <f>MID(CRYPTOWAT[[#This Row],[Name]],FIND(":",A42,1)+1,100)</f>
        <v>dashkrw</v>
      </c>
      <c r="I42" s="14" t="s">
        <v>76</v>
      </c>
      <c r="J42" s="1">
        <v>0.2223</v>
      </c>
    </row>
    <row r="43" spans="1:10">
      <c r="A43" s="1"/>
      <c r="B43" s="1"/>
      <c r="C43" t="str">
        <f>MID(CRYPTOWAT[[#This Row],[Name]],1,FIND(":",A43,1)-1)</f>
        <v>bithumb</v>
      </c>
      <c r="D43" t="str">
        <f>MID(CRYPTOWAT[[#This Row],[Name]],FIND(":",A43,1)+1,100)</f>
        <v>etckrw</v>
      </c>
      <c r="I43" s="14" t="s">
        <v>77</v>
      </c>
      <c r="J43" s="1">
        <v>5.2524679999999997E-2</v>
      </c>
    </row>
    <row r="44" spans="1:10">
      <c r="A44" s="1"/>
      <c r="B44" s="1"/>
      <c r="C44" t="str">
        <f>MID(CRYPTOWAT[[#This Row],[Name]],1,FIND(":",A44,1)-1)</f>
        <v>bithumb</v>
      </c>
      <c r="D44" t="str">
        <f>MID(CRYPTOWAT[[#This Row],[Name]],FIND(":",A44,1)+1,100)</f>
        <v>ethkrw</v>
      </c>
      <c r="I44" s="14" t="s">
        <v>78</v>
      </c>
      <c r="J44" s="1">
        <v>0.73100010000000004</v>
      </c>
    </row>
    <row r="45" spans="1:10">
      <c r="A45" s="1"/>
      <c r="B45" s="1"/>
      <c r="C45" t="str">
        <f>MID(CRYPTOWAT[[#This Row],[Name]],1,FIND(":",A45,1)-1)</f>
        <v>bithumb</v>
      </c>
      <c r="D45" t="str">
        <f>MID(CRYPTOWAT[[#This Row],[Name]],FIND(":",A45,1)+1,100)</f>
        <v>ltckrw</v>
      </c>
      <c r="I45" s="14" t="s">
        <v>79</v>
      </c>
      <c r="J45" s="1">
        <v>238.5</v>
      </c>
    </row>
    <row r="46" spans="1:10">
      <c r="A46" s="1"/>
      <c r="B46" s="1"/>
      <c r="C46" t="str">
        <f>MID(CRYPTOWAT[[#This Row],[Name]],1,FIND(":",A46,1)-1)</f>
        <v>bithumb</v>
      </c>
      <c r="D46" t="str">
        <f>MID(CRYPTOWAT[[#This Row],[Name]],FIND(":",A46,1)+1,100)</f>
        <v>xmrkrw</v>
      </c>
      <c r="I46" s="14" t="s">
        <v>80</v>
      </c>
      <c r="J46" s="1">
        <v>2.0055149999999999</v>
      </c>
    </row>
    <row r="47" spans="1:10">
      <c r="A47" s="1"/>
      <c r="B47" s="1"/>
      <c r="C47" t="str">
        <f>MID(CRYPTOWAT[[#This Row],[Name]],1,FIND(":",A47,1)-1)</f>
        <v>bithumb</v>
      </c>
      <c r="D47" t="str">
        <f>MID(CRYPTOWAT[[#This Row],[Name]],FIND(":",A47,1)+1,100)</f>
        <v>xrpkrw</v>
      </c>
    </row>
    <row r="48" spans="1:10">
      <c r="A48" s="1"/>
      <c r="B48" s="1"/>
      <c r="C48" t="str">
        <f>MID(CRYPTOWAT[[#This Row],[Name]],1,FIND(":",A48,1)-1)</f>
        <v>bitmex</v>
      </c>
      <c r="D48" t="str">
        <f>MID(CRYPTOWAT[[#This Row],[Name]],FIND(":",A48,1)+1,100)</f>
        <v>xbt-monthly-futures</v>
      </c>
    </row>
    <row r="49" spans="1:4">
      <c r="A49" s="1"/>
      <c r="B49" s="1"/>
      <c r="C49" t="str">
        <f>MID(CRYPTOWAT[[#This Row],[Name]],1,FIND(":",A49,1)-1)</f>
        <v>bitmex</v>
      </c>
      <c r="D49" t="str">
        <f>MID(CRYPTOWAT[[#This Row],[Name]],FIND(":",A49,1)+1,100)</f>
        <v>xbt-perpetual-futures</v>
      </c>
    </row>
    <row r="50" spans="1:4">
      <c r="A50" s="1"/>
      <c r="B50" s="1"/>
      <c r="C50" t="str">
        <f>MID(CRYPTOWAT[[#This Row],[Name]],1,FIND(":",A50,1)-1)</f>
        <v>bitsquare</v>
      </c>
      <c r="D50" t="str">
        <f>MID(CRYPTOWAT[[#This Row],[Name]],FIND(":",A50,1)+1,100)</f>
        <v>btcaud</v>
      </c>
    </row>
    <row r="51" spans="1:4">
      <c r="A51" s="1"/>
      <c r="B51" s="1"/>
      <c r="C51" t="str">
        <f>MID(CRYPTOWAT[[#This Row],[Name]],1,FIND(":",A51,1)-1)</f>
        <v>bitsquare</v>
      </c>
      <c r="D51" t="str">
        <f>MID(CRYPTOWAT[[#This Row],[Name]],FIND(":",A51,1)+1,100)</f>
        <v>btceur</v>
      </c>
    </row>
    <row r="52" spans="1:4">
      <c r="A52" s="1"/>
      <c r="B52" s="1"/>
      <c r="C52" t="str">
        <f>MID(CRYPTOWAT[[#This Row],[Name]],1,FIND(":",A52,1)-1)</f>
        <v>bitsquare</v>
      </c>
      <c r="D52" t="str">
        <f>MID(CRYPTOWAT[[#This Row],[Name]],FIND(":",A52,1)+1,100)</f>
        <v>btcusd</v>
      </c>
    </row>
    <row r="53" spans="1:4">
      <c r="A53" s="1"/>
      <c r="B53" s="1"/>
      <c r="C53" t="str">
        <f>MID(CRYPTOWAT[[#This Row],[Name]],1,FIND(":",A53,1)-1)</f>
        <v>bitsquare</v>
      </c>
      <c r="D53" t="str">
        <f>MID(CRYPTOWAT[[#This Row],[Name]],FIND(":",A53,1)+1,100)</f>
        <v>etcbtc</v>
      </c>
    </row>
    <row r="54" spans="1:4">
      <c r="A54" s="1"/>
      <c r="B54" s="1"/>
      <c r="C54" t="str">
        <f>MID(CRYPTOWAT[[#This Row],[Name]],1,FIND(":",A54,1)-1)</f>
        <v>bitsquare</v>
      </c>
      <c r="D54" t="str">
        <f>MID(CRYPTOWAT[[#This Row],[Name]],FIND(":",A54,1)+1,100)</f>
        <v>ethbtc</v>
      </c>
    </row>
    <row r="55" spans="1:4">
      <c r="A55" s="1"/>
      <c r="B55" s="1"/>
      <c r="C55" t="str">
        <f>MID(CRYPTOWAT[[#This Row],[Name]],1,FIND(":",A55,1)-1)</f>
        <v>bitsquare</v>
      </c>
      <c r="D55" t="str">
        <f>MID(CRYPTOWAT[[#This Row],[Name]],FIND(":",A55,1)+1,100)</f>
        <v>ltcbtc</v>
      </c>
    </row>
    <row r="56" spans="1:4">
      <c r="A56" s="1"/>
      <c r="B56" s="1"/>
      <c r="C56" t="str">
        <f>MID(CRYPTOWAT[[#This Row],[Name]],1,FIND(":",A56,1)-1)</f>
        <v>bitstamp</v>
      </c>
      <c r="D56" t="str">
        <f>MID(CRYPTOWAT[[#This Row],[Name]],FIND(":",A56,1)+1,100)</f>
        <v>btceur</v>
      </c>
    </row>
    <row r="57" spans="1:4">
      <c r="A57" s="1"/>
      <c r="B57" s="1"/>
      <c r="C57" t="str">
        <f>MID(CRYPTOWAT[[#This Row],[Name]],1,FIND(":",A57,1)-1)</f>
        <v>bitstamp</v>
      </c>
      <c r="D57" t="str">
        <f>MID(CRYPTOWAT[[#This Row],[Name]],FIND(":",A57,1)+1,100)</f>
        <v>btcusd</v>
      </c>
    </row>
    <row r="58" spans="1:4">
      <c r="A58" s="1"/>
      <c r="B58" s="1"/>
      <c r="C58" t="str">
        <f>MID(CRYPTOWAT[[#This Row],[Name]],1,FIND(":",A58,1)-1)</f>
        <v>bitstamp</v>
      </c>
      <c r="D58" t="str">
        <f>MID(CRYPTOWAT[[#This Row],[Name]],FIND(":",A58,1)+1,100)</f>
        <v>ethbtc</v>
      </c>
    </row>
    <row r="59" spans="1:4">
      <c r="A59" s="1"/>
      <c r="B59" s="1"/>
      <c r="C59" t="str">
        <f>MID(CRYPTOWAT[[#This Row],[Name]],1,FIND(":",A59,1)-1)</f>
        <v>bitstamp</v>
      </c>
      <c r="D59" t="str">
        <f>MID(CRYPTOWAT[[#This Row],[Name]],FIND(":",A59,1)+1,100)</f>
        <v>etheur</v>
      </c>
    </row>
    <row r="60" spans="1:4">
      <c r="A60" s="1"/>
      <c r="B60" s="1"/>
      <c r="C60" t="str">
        <f>MID(CRYPTOWAT[[#This Row],[Name]],1,FIND(":",A60,1)-1)</f>
        <v>bitstamp</v>
      </c>
      <c r="D60" t="str">
        <f>MID(CRYPTOWAT[[#This Row],[Name]],FIND(":",A60,1)+1,100)</f>
        <v>ethusd</v>
      </c>
    </row>
    <row r="61" spans="1:4">
      <c r="A61" s="1"/>
      <c r="B61" s="1"/>
      <c r="C61" t="str">
        <f>MID(CRYPTOWAT[[#This Row],[Name]],1,FIND(":",A61,1)-1)</f>
        <v>bitstamp</v>
      </c>
      <c r="D61" t="str">
        <f>MID(CRYPTOWAT[[#This Row],[Name]],FIND(":",A61,1)+1,100)</f>
        <v>eurusd</v>
      </c>
    </row>
    <row r="62" spans="1:4">
      <c r="A62" s="1"/>
      <c r="B62" s="1"/>
      <c r="C62" t="str">
        <f>MID(CRYPTOWAT[[#This Row],[Name]],1,FIND(":",A62,1)-1)</f>
        <v>bitstamp</v>
      </c>
      <c r="D62" t="str">
        <f>MID(CRYPTOWAT[[#This Row],[Name]],FIND(":",A62,1)+1,100)</f>
        <v>ltcbtc</v>
      </c>
    </row>
    <row r="63" spans="1:4">
      <c r="A63" s="1"/>
      <c r="B63" s="1"/>
      <c r="C63" t="str">
        <f>MID(CRYPTOWAT[[#This Row],[Name]],1,FIND(":",A63,1)-1)</f>
        <v>bitstamp</v>
      </c>
      <c r="D63" t="str">
        <f>MID(CRYPTOWAT[[#This Row],[Name]],FIND(":",A63,1)+1,100)</f>
        <v>ltceur</v>
      </c>
    </row>
    <row r="64" spans="1:4">
      <c r="A64" s="1"/>
      <c r="B64" s="1"/>
      <c r="C64" t="str">
        <f>MID(CRYPTOWAT[[#This Row],[Name]],1,FIND(":",A64,1)-1)</f>
        <v>bitstamp</v>
      </c>
      <c r="D64" t="str">
        <f>MID(CRYPTOWAT[[#This Row],[Name]],FIND(":",A64,1)+1,100)</f>
        <v>ltcusd</v>
      </c>
    </row>
    <row r="65" spans="1:4">
      <c r="A65" s="1"/>
      <c r="B65" s="1"/>
      <c r="C65" t="str">
        <f>MID(CRYPTOWAT[[#This Row],[Name]],1,FIND(":",A65,1)-1)</f>
        <v>bitstamp</v>
      </c>
      <c r="D65" t="str">
        <f>MID(CRYPTOWAT[[#This Row],[Name]],FIND(":",A65,1)+1,100)</f>
        <v>xrpbtc</v>
      </c>
    </row>
    <row r="66" spans="1:4">
      <c r="A66" s="1"/>
      <c r="B66" s="1"/>
      <c r="C66" t="str">
        <f>MID(CRYPTOWAT[[#This Row],[Name]],1,FIND(":",A66,1)-1)</f>
        <v>bitstamp</v>
      </c>
      <c r="D66" t="str">
        <f>MID(CRYPTOWAT[[#This Row],[Name]],FIND(":",A66,1)+1,100)</f>
        <v>xrpeur</v>
      </c>
    </row>
    <row r="67" spans="1:4">
      <c r="A67" s="1"/>
      <c r="B67" s="1"/>
      <c r="C67" t="str">
        <f>MID(CRYPTOWAT[[#This Row],[Name]],1,FIND(":",A67,1)-1)</f>
        <v>bitstamp</v>
      </c>
      <c r="D67" t="str">
        <f>MID(CRYPTOWAT[[#This Row],[Name]],FIND(":",A67,1)+1,100)</f>
        <v>xrpusd</v>
      </c>
    </row>
    <row r="68" spans="1:4">
      <c r="A68" s="1"/>
      <c r="B68" s="1"/>
      <c r="C68" t="str">
        <f>MID(CRYPTOWAT[[#This Row],[Name]],1,FIND(":",A68,1)-1)</f>
        <v>bitvc</v>
      </c>
      <c r="D68" t="str">
        <f>MID(CRYPTOWAT[[#This Row],[Name]],FIND(":",A68,1)+1,100)</f>
        <v>btccny-quarterly-futures</v>
      </c>
    </row>
    <row r="69" spans="1:4">
      <c r="A69" s="1"/>
      <c r="B69" s="1"/>
      <c r="C69" t="str">
        <f>MID(CRYPTOWAT[[#This Row],[Name]],1,FIND(":",A69,1)-1)</f>
        <v>bitvc</v>
      </c>
      <c r="D69" t="str">
        <f>MID(CRYPTOWAT[[#This Row],[Name]],FIND(":",A69,1)+1,100)</f>
        <v>btccny-weekly-futures</v>
      </c>
    </row>
    <row r="70" spans="1:4">
      <c r="A70" s="1"/>
      <c r="B70" s="1"/>
      <c r="C70" t="str">
        <f>MID(CRYPTOWAT[[#This Row],[Name]],1,FIND(":",A70,1)-1)</f>
        <v>bitvc</v>
      </c>
      <c r="D70" t="str">
        <f>MID(CRYPTOWAT[[#This Row],[Name]],FIND(":",A70,1)+1,100)</f>
        <v>ltccny-quarterly-futures</v>
      </c>
    </row>
    <row r="71" spans="1:4">
      <c r="A71" s="1"/>
      <c r="B71" s="1"/>
      <c r="C71" t="str">
        <f>MID(CRYPTOWAT[[#This Row],[Name]],1,FIND(":",A71,1)-1)</f>
        <v>bitvc</v>
      </c>
      <c r="D71" t="str">
        <f>MID(CRYPTOWAT[[#This Row],[Name]],FIND(":",A71,1)+1,100)</f>
        <v>ltccny-weekly-futures</v>
      </c>
    </row>
    <row r="72" spans="1:4">
      <c r="A72" s="1"/>
      <c r="B72" s="1"/>
      <c r="C72" t="str">
        <f>MID(CRYPTOWAT[[#This Row],[Name]],1,FIND(":",A72,1)-1)</f>
        <v>btc-china</v>
      </c>
      <c r="D72" t="str">
        <f>MID(CRYPTOWAT[[#This Row],[Name]],FIND(":",A72,1)+1,100)</f>
        <v>btccny</v>
      </c>
    </row>
    <row r="73" spans="1:4">
      <c r="A73" s="1"/>
      <c r="B73" s="1"/>
      <c r="C73" t="str">
        <f>MID(CRYPTOWAT[[#This Row],[Name]],1,FIND(":",A73,1)-1)</f>
        <v>btc-china</v>
      </c>
      <c r="D73" t="str">
        <f>MID(CRYPTOWAT[[#This Row],[Name]],FIND(":",A73,1)+1,100)</f>
        <v>ltcbtc</v>
      </c>
    </row>
    <row r="74" spans="1:4">
      <c r="A74" s="1"/>
      <c r="B74" s="1"/>
      <c r="C74" t="str">
        <f>MID(CRYPTOWAT[[#This Row],[Name]],1,FIND(":",A74,1)-1)</f>
        <v>btc-china</v>
      </c>
      <c r="D74" t="str">
        <f>MID(CRYPTOWAT[[#This Row],[Name]],FIND(":",A74,1)+1,100)</f>
        <v>ltccny</v>
      </c>
    </row>
    <row r="75" spans="1:4">
      <c r="A75" s="1"/>
      <c r="B75" s="1"/>
      <c r="C75" t="str">
        <f>MID(CRYPTOWAT[[#This Row],[Name]],1,FIND(":",A75,1)-1)</f>
        <v>cexio</v>
      </c>
      <c r="D75" t="str">
        <f>MID(CRYPTOWAT[[#This Row],[Name]],FIND(":",A75,1)+1,100)</f>
        <v>bchusd</v>
      </c>
    </row>
    <row r="76" spans="1:4">
      <c r="A76" s="1"/>
      <c r="B76" s="1"/>
      <c r="C76" t="str">
        <f>MID(CRYPTOWAT[[#This Row],[Name]],1,FIND(":",A76,1)-1)</f>
        <v>cexio</v>
      </c>
      <c r="D76" t="str">
        <f>MID(CRYPTOWAT[[#This Row],[Name]],FIND(":",A76,1)+1,100)</f>
        <v>btceur</v>
      </c>
    </row>
    <row r="77" spans="1:4">
      <c r="A77" s="1"/>
      <c r="B77" s="1"/>
      <c r="C77" t="str">
        <f>MID(CRYPTOWAT[[#This Row],[Name]],1,FIND(":",A77,1)-1)</f>
        <v>cexio</v>
      </c>
      <c r="D77" t="str">
        <f>MID(CRYPTOWAT[[#This Row],[Name]],FIND(":",A77,1)+1,100)</f>
        <v>btcusd</v>
      </c>
    </row>
    <row r="78" spans="1:4">
      <c r="A78" s="1"/>
      <c r="B78" s="1"/>
      <c r="C78" t="str">
        <f>MID(CRYPTOWAT[[#This Row],[Name]],1,FIND(":",A78,1)-1)</f>
        <v>cexio</v>
      </c>
      <c r="D78" t="str">
        <f>MID(CRYPTOWAT[[#This Row],[Name]],FIND(":",A78,1)+1,100)</f>
        <v>ethbtc</v>
      </c>
    </row>
    <row r="79" spans="1:4">
      <c r="A79" s="1"/>
      <c r="B79" s="1"/>
      <c r="C79" t="str">
        <f>MID(CRYPTOWAT[[#This Row],[Name]],1,FIND(":",A79,1)-1)</f>
        <v>cexio</v>
      </c>
      <c r="D79" t="str">
        <f>MID(CRYPTOWAT[[#This Row],[Name]],FIND(":",A79,1)+1,100)</f>
        <v>ltcbtc</v>
      </c>
    </row>
    <row r="80" spans="1:4">
      <c r="A80" s="1"/>
      <c r="B80" s="1"/>
      <c r="C80" t="str">
        <f>MID(CRYPTOWAT[[#This Row],[Name]],1,FIND(":",A80,1)-1)</f>
        <v>cexio</v>
      </c>
      <c r="D80" t="str">
        <f>MID(CRYPTOWAT[[#This Row],[Name]],FIND(":",A80,1)+1,100)</f>
        <v>ltcusd</v>
      </c>
    </row>
    <row r="81" spans="1:4">
      <c r="A81" s="1"/>
      <c r="B81" s="1"/>
      <c r="C81" t="str">
        <f>MID(CRYPTOWAT[[#This Row],[Name]],1,FIND(":",A81,1)-1)</f>
        <v>gdax</v>
      </c>
      <c r="D81" t="str">
        <f>MID(CRYPTOWAT[[#This Row],[Name]],FIND(":",A81,1)+1,100)</f>
        <v>btceur</v>
      </c>
    </row>
    <row r="82" spans="1:4">
      <c r="A82" s="1"/>
      <c r="B82" s="1"/>
      <c r="C82" t="str">
        <f>MID(CRYPTOWAT[[#This Row],[Name]],1,FIND(":",A82,1)-1)</f>
        <v>gdax</v>
      </c>
      <c r="D82" t="str">
        <f>MID(CRYPTOWAT[[#This Row],[Name]],FIND(":",A82,1)+1,100)</f>
        <v>btcgbp</v>
      </c>
    </row>
    <row r="83" spans="1:4">
      <c r="A83" s="1"/>
      <c r="B83" s="1"/>
      <c r="C83" t="str">
        <f>MID(CRYPTOWAT[[#This Row],[Name]],1,FIND(":",A83,1)-1)</f>
        <v>gdax</v>
      </c>
      <c r="D83" t="str">
        <f>MID(CRYPTOWAT[[#This Row],[Name]],FIND(":",A83,1)+1,100)</f>
        <v>btcusd</v>
      </c>
    </row>
    <row r="84" spans="1:4">
      <c r="A84" s="1"/>
      <c r="B84" s="1"/>
      <c r="C84" t="str">
        <f>MID(CRYPTOWAT[[#This Row],[Name]],1,FIND(":",A84,1)-1)</f>
        <v>gdax</v>
      </c>
      <c r="D84" t="str">
        <f>MID(CRYPTOWAT[[#This Row],[Name]],FIND(":",A84,1)+1,100)</f>
        <v>ethbtc</v>
      </c>
    </row>
    <row r="85" spans="1:4">
      <c r="A85" s="1"/>
      <c r="B85" s="1"/>
      <c r="C85" t="str">
        <f>MID(CRYPTOWAT[[#This Row],[Name]],1,FIND(":",A85,1)-1)</f>
        <v>gdax</v>
      </c>
      <c r="D85" t="str">
        <f>MID(CRYPTOWAT[[#This Row],[Name]],FIND(":",A85,1)+1,100)</f>
        <v>etheur</v>
      </c>
    </row>
    <row r="86" spans="1:4">
      <c r="A86" s="1"/>
      <c r="B86" s="1"/>
      <c r="C86" t="str">
        <f>MID(CRYPTOWAT[[#This Row],[Name]],1,FIND(":",A86,1)-1)</f>
        <v>gdax</v>
      </c>
      <c r="D86" t="str">
        <f>MID(CRYPTOWAT[[#This Row],[Name]],FIND(":",A86,1)+1,100)</f>
        <v>ethusd</v>
      </c>
    </row>
    <row r="87" spans="1:4">
      <c r="A87" s="1"/>
      <c r="B87" s="1"/>
      <c r="C87" t="str">
        <f>MID(CRYPTOWAT[[#This Row],[Name]],1,FIND(":",A87,1)-1)</f>
        <v>gdax</v>
      </c>
      <c r="D87" t="str">
        <f>MID(CRYPTOWAT[[#This Row],[Name]],FIND(":",A87,1)+1,100)</f>
        <v>ltcbtc</v>
      </c>
    </row>
    <row r="88" spans="1:4">
      <c r="A88" s="1"/>
      <c r="B88" s="1"/>
      <c r="C88" t="str">
        <f>MID(CRYPTOWAT[[#This Row],[Name]],1,FIND(":",A88,1)-1)</f>
        <v>gdax</v>
      </c>
      <c r="D88" t="str">
        <f>MID(CRYPTOWAT[[#This Row],[Name]],FIND(":",A88,1)+1,100)</f>
        <v>ltceur</v>
      </c>
    </row>
    <row r="89" spans="1:4">
      <c r="A89" s="1"/>
      <c r="B89" s="1"/>
      <c r="C89" t="str">
        <f>MID(CRYPTOWAT[[#This Row],[Name]],1,FIND(":",A89,1)-1)</f>
        <v>gdax</v>
      </c>
      <c r="D89" t="str">
        <f>MID(CRYPTOWAT[[#This Row],[Name]],FIND(":",A89,1)+1,100)</f>
        <v>ltcusd</v>
      </c>
    </row>
    <row r="90" spans="1:4">
      <c r="A90" s="1"/>
      <c r="B90" s="1"/>
      <c r="C90" t="str">
        <f>MID(CRYPTOWAT[[#This Row],[Name]],1,FIND(":",A90,1)-1)</f>
        <v>gemini</v>
      </c>
      <c r="D90" t="str">
        <f>MID(CRYPTOWAT[[#This Row],[Name]],FIND(":",A90,1)+1,100)</f>
        <v>btcusd</v>
      </c>
    </row>
    <row r="91" spans="1:4">
      <c r="A91" s="1"/>
      <c r="B91" s="1"/>
      <c r="C91" t="str">
        <f>MID(CRYPTOWAT[[#This Row],[Name]],1,FIND(":",A91,1)-1)</f>
        <v>gemini</v>
      </c>
      <c r="D91" t="str">
        <f>MID(CRYPTOWAT[[#This Row],[Name]],FIND(":",A91,1)+1,100)</f>
        <v>ethbtc</v>
      </c>
    </row>
    <row r="92" spans="1:4">
      <c r="A92" s="1"/>
      <c r="B92" s="1"/>
      <c r="C92" t="str">
        <f>MID(CRYPTOWAT[[#This Row],[Name]],1,FIND(":",A92,1)-1)</f>
        <v>gemini</v>
      </c>
      <c r="D92" t="str">
        <f>MID(CRYPTOWAT[[#This Row],[Name]],FIND(":",A92,1)+1,100)</f>
        <v>ethusd</v>
      </c>
    </row>
    <row r="93" spans="1:4">
      <c r="A93" s="1"/>
      <c r="B93" s="1"/>
      <c r="C93" t="str">
        <f>MID(CRYPTOWAT[[#This Row],[Name]],1,FIND(":",A93,1)-1)</f>
        <v>huobi</v>
      </c>
      <c r="D93" t="str">
        <f>MID(CRYPTOWAT[[#This Row],[Name]],FIND(":",A93,1)+1,100)</f>
        <v>btccny</v>
      </c>
    </row>
    <row r="94" spans="1:4">
      <c r="A94" s="1"/>
      <c r="B94" s="1"/>
      <c r="C94" t="str">
        <f>MID(CRYPTOWAT[[#This Row],[Name]],1,FIND(":",A94,1)-1)</f>
        <v>huobi</v>
      </c>
      <c r="D94" t="str">
        <f>MID(CRYPTOWAT[[#This Row],[Name]],FIND(":",A94,1)+1,100)</f>
        <v>ltccny</v>
      </c>
    </row>
    <row r="95" spans="1:4">
      <c r="A95" s="1"/>
      <c r="B95" s="1"/>
      <c r="C95" t="str">
        <f>MID(CRYPTOWAT[[#This Row],[Name]],1,FIND(":",A95,1)-1)</f>
        <v>kraken</v>
      </c>
      <c r="D95" t="str">
        <f>MID(CRYPTOWAT[[#This Row],[Name]],FIND(":",A95,1)+1,100)</f>
        <v>bchbtc</v>
      </c>
    </row>
    <row r="96" spans="1:4">
      <c r="A96" s="1"/>
      <c r="B96" s="1"/>
      <c r="C96" t="str">
        <f>MID(CRYPTOWAT[[#This Row],[Name]],1,FIND(":",A96,1)-1)</f>
        <v>kraken</v>
      </c>
      <c r="D96" t="str">
        <f>MID(CRYPTOWAT[[#This Row],[Name]],FIND(":",A96,1)+1,100)</f>
        <v>bcheur</v>
      </c>
    </row>
    <row r="97" spans="1:4">
      <c r="A97" s="1"/>
      <c r="B97" s="1"/>
      <c r="C97" t="str">
        <f>MID(CRYPTOWAT[[#This Row],[Name]],1,FIND(":",A97,1)-1)</f>
        <v>kraken</v>
      </c>
      <c r="D97" t="str">
        <f>MID(CRYPTOWAT[[#This Row],[Name]],FIND(":",A97,1)+1,100)</f>
        <v>bchusd</v>
      </c>
    </row>
    <row r="98" spans="1:4">
      <c r="A98" s="1"/>
      <c r="B98" s="1"/>
      <c r="C98" t="str">
        <f>MID(CRYPTOWAT[[#This Row],[Name]],1,FIND(":",A98,1)-1)</f>
        <v>kraken</v>
      </c>
      <c r="D98" t="str">
        <f>MID(CRYPTOWAT[[#This Row],[Name]],FIND(":",A98,1)+1,100)</f>
        <v>btccad</v>
      </c>
    </row>
    <row r="99" spans="1:4">
      <c r="A99" s="1"/>
      <c r="B99" s="1"/>
      <c r="C99" t="str">
        <f>MID(CRYPTOWAT[[#This Row],[Name]],1,FIND(":",A99,1)-1)</f>
        <v>kraken</v>
      </c>
      <c r="D99" t="str">
        <f>MID(CRYPTOWAT[[#This Row],[Name]],FIND(":",A99,1)+1,100)</f>
        <v>btceur</v>
      </c>
    </row>
    <row r="100" spans="1:4">
      <c r="A100" s="1"/>
      <c r="B100" s="1"/>
      <c r="C100" t="str">
        <f>MID(CRYPTOWAT[[#This Row],[Name]],1,FIND(":",A100,1)-1)</f>
        <v>kraken</v>
      </c>
      <c r="D100" t="str">
        <f>MID(CRYPTOWAT[[#This Row],[Name]],FIND(":",A100,1)+1,100)</f>
        <v>btcgbp</v>
      </c>
    </row>
    <row r="101" spans="1:4">
      <c r="A101"/>
      <c r="B101" s="1"/>
      <c r="C101" t="str">
        <f>MID(CRYPTOWAT[[#This Row],[Name]],1,FIND(":",A101,1)-1)</f>
        <v>kraken</v>
      </c>
      <c r="D101" t="str">
        <f>MID(CRYPTOWAT[[#This Row],[Name]],FIND(":",A101,1)+1,100)</f>
        <v>btcjpy</v>
      </c>
    </row>
    <row r="102" spans="1:4">
      <c r="A102"/>
      <c r="B102" s="1"/>
      <c r="C102" t="str">
        <f>MID(CRYPTOWAT[[#This Row],[Name]],1,FIND(":",A102,1)-1)</f>
        <v>kraken</v>
      </c>
      <c r="D102" t="str">
        <f>MID(CRYPTOWAT[[#This Row],[Name]],FIND(":",A102,1)+1,100)</f>
        <v>btcusd</v>
      </c>
    </row>
    <row r="103" spans="1:4">
      <c r="A103"/>
      <c r="B103" s="1"/>
      <c r="C103" t="str">
        <f>MID(CRYPTOWAT[[#This Row],[Name]],1,FIND(":",A103,1)-1)</f>
        <v>kraken</v>
      </c>
      <c r="D103" t="str">
        <f>MID(CRYPTOWAT[[#This Row],[Name]],FIND(":",A103,1)+1,100)</f>
        <v>dashbtc</v>
      </c>
    </row>
    <row r="104" spans="1:4">
      <c r="A104"/>
      <c r="B104" s="1"/>
      <c r="C104" t="str">
        <f>MID(CRYPTOWAT[[#This Row],[Name]],1,FIND(":",A104,1)-1)</f>
        <v>kraken</v>
      </c>
      <c r="D104" t="str">
        <f>MID(CRYPTOWAT[[#This Row],[Name]],FIND(":",A104,1)+1,100)</f>
        <v>dasheur</v>
      </c>
    </row>
    <row r="105" spans="1:4">
      <c r="A105"/>
      <c r="B105" s="1"/>
      <c r="C105" t="str">
        <f>MID(CRYPTOWAT[[#This Row],[Name]],1,FIND(":",A105,1)-1)</f>
        <v>kraken</v>
      </c>
      <c r="D105" t="str">
        <f>MID(CRYPTOWAT[[#This Row],[Name]],FIND(":",A105,1)+1,100)</f>
        <v>dashusd</v>
      </c>
    </row>
    <row r="106" spans="1:4">
      <c r="A106"/>
      <c r="B106" s="1"/>
      <c r="C106" t="str">
        <f>MID(CRYPTOWAT[[#This Row],[Name]],1,FIND(":",A106,1)-1)</f>
        <v>kraken</v>
      </c>
      <c r="D106" t="str">
        <f>MID(CRYPTOWAT[[#This Row],[Name]],FIND(":",A106,1)+1,100)</f>
        <v>dogebtc</v>
      </c>
    </row>
    <row r="107" spans="1:4">
      <c r="A107"/>
      <c r="B107" s="1"/>
      <c r="C107" t="str">
        <f>MID(CRYPTOWAT[[#This Row],[Name]],1,FIND(":",A107,1)-1)</f>
        <v>kraken</v>
      </c>
      <c r="D107" t="str">
        <f>MID(CRYPTOWAT[[#This Row],[Name]],FIND(":",A107,1)+1,100)</f>
        <v>eosbtc</v>
      </c>
    </row>
    <row r="108" spans="1:4">
      <c r="A108"/>
      <c r="B108" s="1"/>
      <c r="C108" t="str">
        <f>MID(CRYPTOWAT[[#This Row],[Name]],1,FIND(":",A108,1)-1)</f>
        <v>kraken</v>
      </c>
      <c r="D108" t="str">
        <f>MID(CRYPTOWAT[[#This Row],[Name]],FIND(":",A108,1)+1,100)</f>
        <v>eoseth</v>
      </c>
    </row>
    <row r="109" spans="1:4">
      <c r="A109"/>
      <c r="B109" s="1"/>
      <c r="C109" t="str">
        <f>MID(CRYPTOWAT[[#This Row],[Name]],1,FIND(":",A109,1)-1)</f>
        <v>kraken</v>
      </c>
      <c r="D109" t="str">
        <f>MID(CRYPTOWAT[[#This Row],[Name]],FIND(":",A109,1)+1,100)</f>
        <v>eoseur</v>
      </c>
    </row>
    <row r="110" spans="1:4">
      <c r="A110"/>
      <c r="B110" s="1"/>
      <c r="C110" t="str">
        <f>MID(CRYPTOWAT[[#This Row],[Name]],1,FIND(":",A110,1)-1)</f>
        <v>kraken</v>
      </c>
      <c r="D110" t="str">
        <f>MID(CRYPTOWAT[[#This Row],[Name]],FIND(":",A110,1)+1,100)</f>
        <v>eosusd</v>
      </c>
    </row>
    <row r="111" spans="1:4">
      <c r="A111"/>
      <c r="B111" s="1"/>
      <c r="C111" t="str">
        <f>MID(CRYPTOWAT[[#This Row],[Name]],1,FIND(":",A111,1)-1)</f>
        <v>kraken</v>
      </c>
      <c r="D111" t="str">
        <f>MID(CRYPTOWAT[[#This Row],[Name]],FIND(":",A111,1)+1,100)</f>
        <v>etcbtc</v>
      </c>
    </row>
    <row r="112" spans="1:4">
      <c r="A112"/>
      <c r="B112" s="1"/>
      <c r="C112" t="str">
        <f>MID(CRYPTOWAT[[#This Row],[Name]],1,FIND(":",A112,1)-1)</f>
        <v>kraken</v>
      </c>
      <c r="D112" t="str">
        <f>MID(CRYPTOWAT[[#This Row],[Name]],FIND(":",A112,1)+1,100)</f>
        <v>etceth</v>
      </c>
    </row>
    <row r="113" spans="1:4">
      <c r="A113"/>
      <c r="B113" s="1"/>
      <c r="C113" t="str">
        <f>MID(CRYPTOWAT[[#This Row],[Name]],1,FIND(":",A113,1)-1)</f>
        <v>kraken</v>
      </c>
      <c r="D113" t="str">
        <f>MID(CRYPTOWAT[[#This Row],[Name]],FIND(":",A113,1)+1,100)</f>
        <v>etceur</v>
      </c>
    </row>
    <row r="114" spans="1:4">
      <c r="A114"/>
      <c r="B114" s="1"/>
      <c r="C114" t="str">
        <f>MID(CRYPTOWAT[[#This Row],[Name]],1,FIND(":",A114,1)-1)</f>
        <v>kraken</v>
      </c>
      <c r="D114" t="str">
        <f>MID(CRYPTOWAT[[#This Row],[Name]],FIND(":",A114,1)+1,100)</f>
        <v>etcusd</v>
      </c>
    </row>
    <row r="115" spans="1:4">
      <c r="A115"/>
      <c r="B115" s="1"/>
      <c r="C115" t="str">
        <f>MID(CRYPTOWAT[[#This Row],[Name]],1,FIND(":",A115,1)-1)</f>
        <v>kraken</v>
      </c>
      <c r="D115" t="str">
        <f>MID(CRYPTOWAT[[#This Row],[Name]],FIND(":",A115,1)+1,100)</f>
        <v>ethbtc</v>
      </c>
    </row>
    <row r="116" spans="1:4">
      <c r="A116"/>
      <c r="B116" s="1"/>
      <c r="C116" t="str">
        <f>MID(CRYPTOWAT[[#This Row],[Name]],1,FIND(":",A116,1)-1)</f>
        <v>kraken</v>
      </c>
      <c r="D116" t="str">
        <f>MID(CRYPTOWAT[[#This Row],[Name]],FIND(":",A116,1)+1,100)</f>
        <v>ethcad</v>
      </c>
    </row>
    <row r="117" spans="1:4">
      <c r="A117"/>
      <c r="B117" s="1"/>
      <c r="C117" t="str">
        <f>MID(CRYPTOWAT[[#This Row],[Name]],1,FIND(":",A117,1)-1)</f>
        <v>kraken</v>
      </c>
      <c r="D117" t="str">
        <f>MID(CRYPTOWAT[[#This Row],[Name]],FIND(":",A117,1)+1,100)</f>
        <v>etheur</v>
      </c>
    </row>
    <row r="118" spans="1:4">
      <c r="A118"/>
      <c r="B118" s="1"/>
      <c r="C118" t="str">
        <f>MID(CRYPTOWAT[[#This Row],[Name]],1,FIND(":",A118,1)-1)</f>
        <v>kraken</v>
      </c>
      <c r="D118" t="str">
        <f>MID(CRYPTOWAT[[#This Row],[Name]],FIND(":",A118,1)+1,100)</f>
        <v>ethgbp</v>
      </c>
    </row>
    <row r="119" spans="1:4">
      <c r="A119"/>
      <c r="B119" s="1"/>
      <c r="C119" t="str">
        <f>MID(CRYPTOWAT[[#This Row],[Name]],1,FIND(":",A119,1)-1)</f>
        <v>kraken</v>
      </c>
      <c r="D119" t="str">
        <f>MID(CRYPTOWAT[[#This Row],[Name]],FIND(":",A119,1)+1,100)</f>
        <v>ethjpy</v>
      </c>
    </row>
    <row r="120" spans="1:4">
      <c r="A120"/>
      <c r="B120" s="1"/>
      <c r="C120" t="str">
        <f>MID(CRYPTOWAT[[#This Row],[Name]],1,FIND(":",A120,1)-1)</f>
        <v>kraken</v>
      </c>
      <c r="D120" t="str">
        <f>MID(CRYPTOWAT[[#This Row],[Name]],FIND(":",A120,1)+1,100)</f>
        <v>ethusd</v>
      </c>
    </row>
    <row r="121" spans="1:4">
      <c r="A121"/>
      <c r="B121" s="1"/>
      <c r="C121" t="str">
        <f>MID(CRYPTOWAT[[#This Row],[Name]],1,FIND(":",A121,1)-1)</f>
        <v>kraken</v>
      </c>
      <c r="D121" t="str">
        <f>MID(CRYPTOWAT[[#This Row],[Name]],FIND(":",A121,1)+1,100)</f>
        <v>gnobtc</v>
      </c>
    </row>
    <row r="122" spans="1:4">
      <c r="A122"/>
      <c r="B122" s="1"/>
      <c r="C122" t="str">
        <f>MID(CRYPTOWAT[[#This Row],[Name]],1,FIND(":",A122,1)-1)</f>
        <v>kraken</v>
      </c>
      <c r="D122" t="str">
        <f>MID(CRYPTOWAT[[#This Row],[Name]],FIND(":",A122,1)+1,100)</f>
        <v>gnoeth</v>
      </c>
    </row>
    <row r="123" spans="1:4">
      <c r="A123"/>
      <c r="B123" s="1"/>
      <c r="C123" t="str">
        <f>MID(CRYPTOWAT[[#This Row],[Name]],1,FIND(":",A123,1)-1)</f>
        <v>kraken</v>
      </c>
      <c r="D123" t="str">
        <f>MID(CRYPTOWAT[[#This Row],[Name]],FIND(":",A123,1)+1,100)</f>
        <v>gnoeur</v>
      </c>
    </row>
    <row r="124" spans="1:4">
      <c r="A124"/>
      <c r="B124" s="1"/>
      <c r="C124" t="str">
        <f>MID(CRYPTOWAT[[#This Row],[Name]],1,FIND(":",A124,1)-1)</f>
        <v>kraken</v>
      </c>
      <c r="D124" t="str">
        <f>MID(CRYPTOWAT[[#This Row],[Name]],FIND(":",A124,1)+1,100)</f>
        <v>gnousd</v>
      </c>
    </row>
    <row r="125" spans="1:4">
      <c r="A125"/>
      <c r="B125" s="1"/>
      <c r="C125" t="str">
        <f>MID(CRYPTOWAT[[#This Row],[Name]],1,FIND(":",A125,1)-1)</f>
        <v>kraken</v>
      </c>
      <c r="D125" t="str">
        <f>MID(CRYPTOWAT[[#This Row],[Name]],FIND(":",A125,1)+1,100)</f>
        <v>icnbtc</v>
      </c>
    </row>
    <row r="126" spans="1:4">
      <c r="A126"/>
      <c r="B126" s="1"/>
      <c r="C126" t="str">
        <f>MID(CRYPTOWAT[[#This Row],[Name]],1,FIND(":",A126,1)-1)</f>
        <v>kraken</v>
      </c>
      <c r="D126" t="str">
        <f>MID(CRYPTOWAT[[#This Row],[Name]],FIND(":",A126,1)+1,100)</f>
        <v>icneth</v>
      </c>
    </row>
    <row r="127" spans="1:4">
      <c r="A127"/>
      <c r="B127" s="1"/>
      <c r="C127" t="str">
        <f>MID(CRYPTOWAT[[#This Row],[Name]],1,FIND(":",A127,1)-1)</f>
        <v>kraken</v>
      </c>
      <c r="D127" t="str">
        <f>MID(CRYPTOWAT[[#This Row],[Name]],FIND(":",A127,1)+1,100)</f>
        <v>ltcbtc</v>
      </c>
    </row>
    <row r="128" spans="1:4">
      <c r="A128"/>
      <c r="B128" s="1"/>
      <c r="C128" t="str">
        <f>MID(CRYPTOWAT[[#This Row],[Name]],1,FIND(":",A128,1)-1)</f>
        <v>kraken</v>
      </c>
      <c r="D128" t="str">
        <f>MID(CRYPTOWAT[[#This Row],[Name]],FIND(":",A128,1)+1,100)</f>
        <v>ltccad</v>
      </c>
    </row>
    <row r="129" spans="1:4">
      <c r="A129"/>
      <c r="B129" s="1"/>
      <c r="C129" t="str">
        <f>MID(CRYPTOWAT[[#This Row],[Name]],1,FIND(":",A129,1)-1)</f>
        <v>kraken</v>
      </c>
      <c r="D129" t="str">
        <f>MID(CRYPTOWAT[[#This Row],[Name]],FIND(":",A129,1)+1,100)</f>
        <v>ltceur</v>
      </c>
    </row>
    <row r="130" spans="1:4">
      <c r="A130"/>
      <c r="B130" s="1"/>
      <c r="C130" t="str">
        <f>MID(CRYPTOWAT[[#This Row],[Name]],1,FIND(":",A130,1)-1)</f>
        <v>kraken</v>
      </c>
      <c r="D130" t="str">
        <f>MID(CRYPTOWAT[[#This Row],[Name]],FIND(":",A130,1)+1,100)</f>
        <v>ltcusd</v>
      </c>
    </row>
    <row r="131" spans="1:4">
      <c r="A131"/>
      <c r="B131" s="1"/>
      <c r="C131" t="str">
        <f>MID(CRYPTOWAT[[#This Row],[Name]],1,FIND(":",A131,1)-1)</f>
        <v>kraken</v>
      </c>
      <c r="D131" t="str">
        <f>MID(CRYPTOWAT[[#This Row],[Name]],FIND(":",A131,1)+1,100)</f>
        <v>mlnbtc</v>
      </c>
    </row>
    <row r="132" spans="1:4">
      <c r="A132"/>
      <c r="B132" s="1"/>
      <c r="C132" t="str">
        <f>MID(CRYPTOWAT[[#This Row],[Name]],1,FIND(":",A132,1)-1)</f>
        <v>kraken</v>
      </c>
      <c r="D132" t="str">
        <f>MID(CRYPTOWAT[[#This Row],[Name]],FIND(":",A132,1)+1,100)</f>
        <v>mlneth</v>
      </c>
    </row>
    <row r="133" spans="1:4">
      <c r="A133"/>
      <c r="B133" s="1"/>
      <c r="C133" t="str">
        <f>MID(CRYPTOWAT[[#This Row],[Name]],1,FIND(":",A133,1)-1)</f>
        <v>kraken</v>
      </c>
      <c r="D133" t="str">
        <f>MID(CRYPTOWAT[[#This Row],[Name]],FIND(":",A133,1)+1,100)</f>
        <v>repbtc</v>
      </c>
    </row>
    <row r="134" spans="1:4">
      <c r="A134"/>
      <c r="B134" s="1"/>
      <c r="C134" t="str">
        <f>MID(CRYPTOWAT[[#This Row],[Name]],1,FIND(":",A134,1)-1)</f>
        <v>kraken</v>
      </c>
      <c r="D134" t="str">
        <f>MID(CRYPTOWAT[[#This Row],[Name]],FIND(":",A134,1)+1,100)</f>
        <v>repcad</v>
      </c>
    </row>
    <row r="135" spans="1:4">
      <c r="A135"/>
      <c r="B135" s="1"/>
      <c r="C135" t="str">
        <f>MID(CRYPTOWAT[[#This Row],[Name]],1,FIND(":",A135,1)-1)</f>
        <v>kraken</v>
      </c>
      <c r="D135" t="str">
        <f>MID(CRYPTOWAT[[#This Row],[Name]],FIND(":",A135,1)+1,100)</f>
        <v>repeth</v>
      </c>
    </row>
    <row r="136" spans="1:4">
      <c r="A136"/>
      <c r="B136" s="1"/>
      <c r="C136" t="str">
        <f>MID(CRYPTOWAT[[#This Row],[Name]],1,FIND(":",A136,1)-1)</f>
        <v>kraken</v>
      </c>
      <c r="D136" t="str">
        <f>MID(CRYPTOWAT[[#This Row],[Name]],FIND(":",A136,1)+1,100)</f>
        <v>repeur</v>
      </c>
    </row>
    <row r="137" spans="1:4">
      <c r="A137"/>
      <c r="B137" s="1"/>
      <c r="C137" t="str">
        <f>MID(CRYPTOWAT[[#This Row],[Name]],1,FIND(":",A137,1)-1)</f>
        <v>kraken</v>
      </c>
      <c r="D137" t="str">
        <f>MID(CRYPTOWAT[[#This Row],[Name]],FIND(":",A137,1)+1,100)</f>
        <v>repjpy</v>
      </c>
    </row>
    <row r="138" spans="1:4">
      <c r="A138"/>
      <c r="B138" s="1"/>
      <c r="C138" t="str">
        <f>MID(CRYPTOWAT[[#This Row],[Name]],1,FIND(":",A138,1)-1)</f>
        <v>kraken</v>
      </c>
      <c r="D138" t="str">
        <f>MID(CRYPTOWAT[[#This Row],[Name]],FIND(":",A138,1)+1,100)</f>
        <v>repusd</v>
      </c>
    </row>
    <row r="139" spans="1:4">
      <c r="A139"/>
      <c r="B139" s="1"/>
      <c r="C139" t="str">
        <f>MID(CRYPTOWAT[[#This Row],[Name]],1,FIND(":",A139,1)-1)</f>
        <v>kraken</v>
      </c>
      <c r="D139" t="str">
        <f>MID(CRYPTOWAT[[#This Row],[Name]],FIND(":",A139,1)+1,100)</f>
        <v>strbtc</v>
      </c>
    </row>
    <row r="140" spans="1:4">
      <c r="A140"/>
      <c r="B140" s="1"/>
      <c r="C140" t="str">
        <f>MID(CRYPTOWAT[[#This Row],[Name]],1,FIND(":",A140,1)-1)</f>
        <v>kraken</v>
      </c>
      <c r="D140" t="str">
        <f>MID(CRYPTOWAT[[#This Row],[Name]],FIND(":",A140,1)+1,100)</f>
        <v>streur</v>
      </c>
    </row>
    <row r="141" spans="1:4">
      <c r="A141"/>
      <c r="B141" s="1"/>
      <c r="C141" t="str">
        <f>MID(CRYPTOWAT[[#This Row],[Name]],1,FIND(":",A141,1)-1)</f>
        <v>kraken</v>
      </c>
      <c r="D141" t="str">
        <f>MID(CRYPTOWAT[[#This Row],[Name]],FIND(":",A141,1)+1,100)</f>
        <v>strusd</v>
      </c>
    </row>
    <row r="142" spans="1:4">
      <c r="A142"/>
      <c r="B142" s="1"/>
      <c r="C142" t="str">
        <f>MID(CRYPTOWAT[[#This Row],[Name]],1,FIND(":",A142,1)-1)</f>
        <v>kraken</v>
      </c>
      <c r="D142" t="str">
        <f>MID(CRYPTOWAT[[#This Row],[Name]],FIND(":",A142,1)+1,100)</f>
        <v>usdtusd</v>
      </c>
    </row>
    <row r="143" spans="1:4">
      <c r="A143"/>
      <c r="B143" s="1"/>
      <c r="C143" t="str">
        <f>MID(CRYPTOWAT[[#This Row],[Name]],1,FIND(":",A143,1)-1)</f>
        <v>kraken</v>
      </c>
      <c r="D143" t="str">
        <f>MID(CRYPTOWAT[[#This Row],[Name]],FIND(":",A143,1)+1,100)</f>
        <v>xmrbtc</v>
      </c>
    </row>
    <row r="144" spans="1:4">
      <c r="A144"/>
      <c r="B144" s="1"/>
      <c r="C144" t="str">
        <f>MID(CRYPTOWAT[[#This Row],[Name]],1,FIND(":",A144,1)-1)</f>
        <v>kraken</v>
      </c>
      <c r="D144" t="str">
        <f>MID(CRYPTOWAT[[#This Row],[Name]],FIND(":",A144,1)+1,100)</f>
        <v>xmreur</v>
      </c>
    </row>
    <row r="145" spans="1:4">
      <c r="A145"/>
      <c r="B145" s="1"/>
      <c r="C145" t="str">
        <f>MID(CRYPTOWAT[[#This Row],[Name]],1,FIND(":",A145,1)-1)</f>
        <v>kraken</v>
      </c>
      <c r="D145" t="str">
        <f>MID(CRYPTOWAT[[#This Row],[Name]],FIND(":",A145,1)+1,100)</f>
        <v>xmrusd</v>
      </c>
    </row>
    <row r="146" spans="1:4">
      <c r="A146"/>
      <c r="B146" s="1"/>
      <c r="C146" t="str">
        <f>MID(CRYPTOWAT[[#This Row],[Name]],1,FIND(":",A146,1)-1)</f>
        <v>kraken</v>
      </c>
      <c r="D146" t="str">
        <f>MID(CRYPTOWAT[[#This Row],[Name]],FIND(":",A146,1)+1,100)</f>
        <v>xrpbtc</v>
      </c>
    </row>
    <row r="147" spans="1:4">
      <c r="A147"/>
      <c r="B147" s="1"/>
      <c r="C147" t="str">
        <f>MID(CRYPTOWAT[[#This Row],[Name]],1,FIND(":",A147,1)-1)</f>
        <v>kraken</v>
      </c>
      <c r="D147" t="str">
        <f>MID(CRYPTOWAT[[#This Row],[Name]],FIND(":",A147,1)+1,100)</f>
        <v>xrpcad</v>
      </c>
    </row>
    <row r="148" spans="1:4">
      <c r="A148"/>
      <c r="B148" s="1"/>
      <c r="C148" t="str">
        <f>MID(CRYPTOWAT[[#This Row],[Name]],1,FIND(":",A148,1)-1)</f>
        <v>kraken</v>
      </c>
      <c r="D148" t="str">
        <f>MID(CRYPTOWAT[[#This Row],[Name]],FIND(":",A148,1)+1,100)</f>
        <v>xrpeur</v>
      </c>
    </row>
    <row r="149" spans="1:4">
      <c r="A149"/>
      <c r="B149" s="1"/>
      <c r="C149" t="str">
        <f>MID(CRYPTOWAT[[#This Row],[Name]],1,FIND(":",A149,1)-1)</f>
        <v>kraken</v>
      </c>
      <c r="D149" t="str">
        <f>MID(CRYPTOWAT[[#This Row],[Name]],FIND(":",A149,1)+1,100)</f>
        <v>xrpjpy</v>
      </c>
    </row>
    <row r="150" spans="1:4">
      <c r="A150"/>
      <c r="B150" s="1"/>
      <c r="C150" t="str">
        <f>MID(CRYPTOWAT[[#This Row],[Name]],1,FIND(":",A150,1)-1)</f>
        <v>kraken</v>
      </c>
      <c r="D150" t="str">
        <f>MID(CRYPTOWAT[[#This Row],[Name]],FIND(":",A150,1)+1,100)</f>
        <v>xrpusd</v>
      </c>
    </row>
    <row r="151" spans="1:4">
      <c r="A151"/>
      <c r="B151" s="1"/>
      <c r="C151" t="str">
        <f>MID(CRYPTOWAT[[#This Row],[Name]],1,FIND(":",A151,1)-1)</f>
        <v>kraken</v>
      </c>
      <c r="D151" t="str">
        <f>MID(CRYPTOWAT[[#This Row],[Name]],FIND(":",A151,1)+1,100)</f>
        <v>zecbtc</v>
      </c>
    </row>
    <row r="152" spans="1:4">
      <c r="A152"/>
      <c r="B152" s="1"/>
      <c r="C152" t="str">
        <f>MID(CRYPTOWAT[[#This Row],[Name]],1,FIND(":",A152,1)-1)</f>
        <v>kraken</v>
      </c>
      <c r="D152" t="str">
        <f>MID(CRYPTOWAT[[#This Row],[Name]],FIND(":",A152,1)+1,100)</f>
        <v>zeccad</v>
      </c>
    </row>
    <row r="153" spans="1:4">
      <c r="A153"/>
      <c r="B153" s="1"/>
      <c r="C153" t="str">
        <f>MID(CRYPTOWAT[[#This Row],[Name]],1,FIND(":",A153,1)-1)</f>
        <v>kraken</v>
      </c>
      <c r="D153" t="str">
        <f>MID(CRYPTOWAT[[#This Row],[Name]],FIND(":",A153,1)+1,100)</f>
        <v>zeceur</v>
      </c>
    </row>
    <row r="154" spans="1:4">
      <c r="A154"/>
      <c r="B154" s="1"/>
      <c r="C154" t="str">
        <f>MID(CRYPTOWAT[[#This Row],[Name]],1,FIND(":",A154,1)-1)</f>
        <v>kraken</v>
      </c>
      <c r="D154" t="str">
        <f>MID(CRYPTOWAT[[#This Row],[Name]],FIND(":",A154,1)+1,100)</f>
        <v>zecgbp</v>
      </c>
    </row>
    <row r="155" spans="1:4">
      <c r="A155"/>
      <c r="B155" s="1"/>
      <c r="C155" t="str">
        <f>MID(CRYPTOWAT[[#This Row],[Name]],1,FIND(":",A155,1)-1)</f>
        <v>kraken</v>
      </c>
      <c r="D155" t="str">
        <f>MID(CRYPTOWAT[[#This Row],[Name]],FIND(":",A155,1)+1,100)</f>
        <v>zecjpy</v>
      </c>
    </row>
    <row r="156" spans="1:4">
      <c r="A156"/>
      <c r="B156" s="1"/>
      <c r="C156" t="str">
        <f>MID(CRYPTOWAT[[#This Row],[Name]],1,FIND(":",A156,1)-1)</f>
        <v>kraken</v>
      </c>
      <c r="D156" t="str">
        <f>MID(CRYPTOWAT[[#This Row],[Name]],FIND(":",A156,1)+1,100)</f>
        <v>zecusd</v>
      </c>
    </row>
    <row r="157" spans="1:4">
      <c r="A157"/>
      <c r="B157" s="1"/>
      <c r="C157" t="str">
        <f>MID(CRYPTOWAT[[#This Row],[Name]],1,FIND(":",A157,1)-1)</f>
        <v>luno</v>
      </c>
      <c r="D157" t="str">
        <f>MID(CRYPTOWAT[[#This Row],[Name]],FIND(":",A157,1)+1,100)</f>
        <v>btczar</v>
      </c>
    </row>
    <row r="158" spans="1:4">
      <c r="A158"/>
      <c r="B158" s="1"/>
      <c r="C158" t="str">
        <f>MID(CRYPTOWAT[[#This Row],[Name]],1,FIND(":",A158,1)-1)</f>
        <v>okcoin</v>
      </c>
      <c r="D158" t="str">
        <f>MID(CRYPTOWAT[[#This Row],[Name]],FIND(":",A158,1)+1,100)</f>
        <v>btccny</v>
      </c>
    </row>
    <row r="159" spans="1:4">
      <c r="A159"/>
      <c r="B159" s="1"/>
      <c r="C159" t="str">
        <f>MID(CRYPTOWAT[[#This Row],[Name]],1,FIND(":",A159,1)-1)</f>
        <v>okcoin</v>
      </c>
      <c r="D159" t="str">
        <f>MID(CRYPTOWAT[[#This Row],[Name]],FIND(":",A159,1)+1,100)</f>
        <v>btcusd</v>
      </c>
    </row>
    <row r="160" spans="1:4">
      <c r="A160"/>
      <c r="B160" s="1"/>
      <c r="C160" t="str">
        <f>MID(CRYPTOWAT[[#This Row],[Name]],1,FIND(":",A160,1)-1)</f>
        <v>okcoin</v>
      </c>
      <c r="D160" t="str">
        <f>MID(CRYPTOWAT[[#This Row],[Name]],FIND(":",A160,1)+1,100)</f>
        <v>btcusd-biweekly-futures</v>
      </c>
    </row>
    <row r="161" spans="1:4">
      <c r="A161"/>
      <c r="B161" s="1"/>
      <c r="C161" t="str">
        <f>MID(CRYPTOWAT[[#This Row],[Name]],1,FIND(":",A161,1)-1)</f>
        <v>okcoin</v>
      </c>
      <c r="D161" t="str">
        <f>MID(CRYPTOWAT[[#This Row],[Name]],FIND(":",A161,1)+1,100)</f>
        <v>btcusd-quarterly-futures</v>
      </c>
    </row>
    <row r="162" spans="1:4">
      <c r="A162"/>
      <c r="B162" s="1"/>
      <c r="C162" t="str">
        <f>MID(CRYPTOWAT[[#This Row],[Name]],1,FIND(":",A162,1)-1)</f>
        <v>okcoin</v>
      </c>
      <c r="D162" t="str">
        <f>MID(CRYPTOWAT[[#This Row],[Name]],FIND(":",A162,1)+1,100)</f>
        <v>btcusd-weekly-futures</v>
      </c>
    </row>
    <row r="163" spans="1:4">
      <c r="A163"/>
      <c r="B163" s="1"/>
      <c r="C163" t="str">
        <f>MID(CRYPTOWAT[[#This Row],[Name]],1,FIND(":",A163,1)-1)</f>
        <v>okcoin</v>
      </c>
      <c r="D163" t="str">
        <f>MID(CRYPTOWAT[[#This Row],[Name]],FIND(":",A163,1)+1,100)</f>
        <v>ltccny</v>
      </c>
    </row>
    <row r="164" spans="1:4">
      <c r="A164"/>
      <c r="B164" s="1"/>
      <c r="C164" t="str">
        <f>MID(CRYPTOWAT[[#This Row],[Name]],1,FIND(":",A164,1)-1)</f>
        <v>okcoin</v>
      </c>
      <c r="D164" t="str">
        <f>MID(CRYPTOWAT[[#This Row],[Name]],FIND(":",A164,1)+1,100)</f>
        <v>ltcusd</v>
      </c>
    </row>
    <row r="165" spans="1:4">
      <c r="A165"/>
      <c r="B165" s="1"/>
      <c r="C165" t="str">
        <f>MID(CRYPTOWAT[[#This Row],[Name]],1,FIND(":",A165,1)-1)</f>
        <v>okcoin</v>
      </c>
      <c r="D165" t="str">
        <f>MID(CRYPTOWAT[[#This Row],[Name]],FIND(":",A165,1)+1,100)</f>
        <v>ltcusd-biweekly-futures</v>
      </c>
    </row>
    <row r="166" spans="1:4">
      <c r="A166"/>
      <c r="B166" s="1"/>
      <c r="C166" t="str">
        <f>MID(CRYPTOWAT[[#This Row],[Name]],1,FIND(":",A166,1)-1)</f>
        <v>okcoin</v>
      </c>
      <c r="D166" t="str">
        <f>MID(CRYPTOWAT[[#This Row],[Name]],FIND(":",A166,1)+1,100)</f>
        <v>ltcusd-quarterly-futures</v>
      </c>
    </row>
    <row r="167" spans="1:4">
      <c r="A167"/>
      <c r="B167" s="1"/>
      <c r="C167" t="str">
        <f>MID(CRYPTOWAT[[#This Row],[Name]],1,FIND(":",A167,1)-1)</f>
        <v>okcoin</v>
      </c>
      <c r="D167" t="str">
        <f>MID(CRYPTOWAT[[#This Row],[Name]],FIND(":",A167,1)+1,100)</f>
        <v>ltcusd-weekly-futures</v>
      </c>
    </row>
    <row r="168" spans="1:4">
      <c r="A168"/>
      <c r="B168" s="1"/>
      <c r="C168" t="str">
        <f>MID(CRYPTOWAT[[#This Row],[Name]],1,FIND(":",A168,1)-1)</f>
        <v>poloniex</v>
      </c>
      <c r="D168" t="str">
        <f>MID(CRYPTOWAT[[#This Row],[Name]],FIND(":",A168,1)+1,100)</f>
        <v>bchbtc</v>
      </c>
    </row>
    <row r="169" spans="1:4">
      <c r="A169"/>
      <c r="B169" s="1"/>
      <c r="C169" t="str">
        <f>MID(CRYPTOWAT[[#This Row],[Name]],1,FIND(":",A169,1)-1)</f>
        <v>poloniex</v>
      </c>
      <c r="D169" t="str">
        <f>MID(CRYPTOWAT[[#This Row],[Name]],FIND(":",A169,1)+1,100)</f>
        <v>btcusd</v>
      </c>
    </row>
    <row r="170" spans="1:4">
      <c r="A170"/>
      <c r="B170" s="1"/>
      <c r="C170" t="str">
        <f>MID(CRYPTOWAT[[#This Row],[Name]],1,FIND(":",A170,1)-1)</f>
        <v>poloniex</v>
      </c>
      <c r="D170" t="str">
        <f>MID(CRYPTOWAT[[#This Row],[Name]],FIND(":",A170,1)+1,100)</f>
        <v>btsbtc</v>
      </c>
    </row>
    <row r="171" spans="1:4">
      <c r="A171"/>
      <c r="B171" s="1"/>
      <c r="C171" t="str">
        <f>MID(CRYPTOWAT[[#This Row],[Name]],1,FIND(":",A171,1)-1)</f>
        <v>poloniex</v>
      </c>
      <c r="D171" t="str">
        <f>MID(CRYPTOWAT[[#This Row],[Name]],FIND(":",A171,1)+1,100)</f>
        <v>daobtc</v>
      </c>
    </row>
    <row r="172" spans="1:4">
      <c r="A172"/>
      <c r="B172" s="1"/>
      <c r="C172" t="str">
        <f>MID(CRYPTOWAT[[#This Row],[Name]],1,FIND(":",A172,1)-1)</f>
        <v>poloniex</v>
      </c>
      <c r="D172" t="str">
        <f>MID(CRYPTOWAT[[#This Row],[Name]],FIND(":",A172,1)+1,100)</f>
        <v>daoeth</v>
      </c>
    </row>
    <row r="173" spans="1:4">
      <c r="A173"/>
      <c r="B173" s="1"/>
      <c r="C173" t="str">
        <f>MID(CRYPTOWAT[[#This Row],[Name]],1,FIND(":",A173,1)-1)</f>
        <v>poloniex</v>
      </c>
      <c r="D173" t="str">
        <f>MID(CRYPTOWAT[[#This Row],[Name]],FIND(":",A173,1)+1,100)</f>
        <v>dashbtc</v>
      </c>
    </row>
    <row r="174" spans="1:4">
      <c r="A174"/>
      <c r="B174" s="1"/>
      <c r="C174" t="str">
        <f>MID(CRYPTOWAT[[#This Row],[Name]],1,FIND(":",A174,1)-1)</f>
        <v>poloniex</v>
      </c>
      <c r="D174" t="str">
        <f>MID(CRYPTOWAT[[#This Row],[Name]],FIND(":",A174,1)+1,100)</f>
        <v>dashusd</v>
      </c>
    </row>
    <row r="175" spans="1:4">
      <c r="A175"/>
      <c r="B175" s="1"/>
      <c r="C175" t="str">
        <f>MID(CRYPTOWAT[[#This Row],[Name]],1,FIND(":",A175,1)-1)</f>
        <v>poloniex</v>
      </c>
      <c r="D175" t="str">
        <f>MID(CRYPTOWAT[[#This Row],[Name]],FIND(":",A175,1)+1,100)</f>
        <v>dgbbtc</v>
      </c>
    </row>
    <row r="176" spans="1:4">
      <c r="A176"/>
      <c r="B176" s="1"/>
      <c r="C176" t="str">
        <f>MID(CRYPTOWAT[[#This Row],[Name]],1,FIND(":",A176,1)-1)</f>
        <v>poloniex</v>
      </c>
      <c r="D176" t="str">
        <f>MID(CRYPTOWAT[[#This Row],[Name]],FIND(":",A176,1)+1,100)</f>
        <v>etcbtc</v>
      </c>
    </row>
    <row r="177" spans="1:4">
      <c r="A177"/>
      <c r="B177" s="1"/>
      <c r="C177" t="str">
        <f>MID(CRYPTOWAT[[#This Row],[Name]],1,FIND(":",A177,1)-1)</f>
        <v>poloniex</v>
      </c>
      <c r="D177" t="str">
        <f>MID(CRYPTOWAT[[#This Row],[Name]],FIND(":",A177,1)+1,100)</f>
        <v>etceth</v>
      </c>
    </row>
    <row r="178" spans="1:4">
      <c r="A178"/>
      <c r="B178" s="1"/>
      <c r="C178" t="str">
        <f>MID(CRYPTOWAT[[#This Row],[Name]],1,FIND(":",A178,1)-1)</f>
        <v>poloniex</v>
      </c>
      <c r="D178" t="str">
        <f>MID(CRYPTOWAT[[#This Row],[Name]],FIND(":",A178,1)+1,100)</f>
        <v>etcusd</v>
      </c>
    </row>
    <row r="179" spans="1:4">
      <c r="A179"/>
      <c r="B179" s="1"/>
      <c r="C179" t="str">
        <f>MID(CRYPTOWAT[[#This Row],[Name]],1,FIND(":",A179,1)-1)</f>
        <v>poloniex</v>
      </c>
      <c r="D179" t="str">
        <f>MID(CRYPTOWAT[[#This Row],[Name]],FIND(":",A179,1)+1,100)</f>
        <v>ethbtc</v>
      </c>
    </row>
    <row r="180" spans="1:4">
      <c r="A180"/>
      <c r="B180" s="1"/>
      <c r="C180" t="str">
        <f>MID(CRYPTOWAT[[#This Row],[Name]],1,FIND(":",A180,1)-1)</f>
        <v>poloniex</v>
      </c>
      <c r="D180" t="str">
        <f>MID(CRYPTOWAT[[#This Row],[Name]],FIND(":",A180,1)+1,100)</f>
        <v>ethusd</v>
      </c>
    </row>
    <row r="181" spans="1:4">
      <c r="A181"/>
      <c r="B181" s="1"/>
      <c r="C181" t="str">
        <f>MID(CRYPTOWAT[[#This Row],[Name]],1,FIND(":",A181,1)-1)</f>
        <v>poloniex</v>
      </c>
      <c r="D181" t="str">
        <f>MID(CRYPTOWAT[[#This Row],[Name]],FIND(":",A181,1)+1,100)</f>
        <v>fctbtc</v>
      </c>
    </row>
    <row r="182" spans="1:4">
      <c r="A182"/>
      <c r="B182" s="1"/>
      <c r="C182" t="str">
        <f>MID(CRYPTOWAT[[#This Row],[Name]],1,FIND(":",A182,1)-1)</f>
        <v>poloniex</v>
      </c>
      <c r="D182" t="str">
        <f>MID(CRYPTOWAT[[#This Row],[Name]],FIND(":",A182,1)+1,100)</f>
        <v>gnobtc</v>
      </c>
    </row>
    <row r="183" spans="1:4">
      <c r="A183"/>
      <c r="B183" s="1"/>
      <c r="C183" t="str">
        <f>MID(CRYPTOWAT[[#This Row],[Name]],1,FIND(":",A183,1)-1)</f>
        <v>poloniex</v>
      </c>
      <c r="D183" t="str">
        <f>MID(CRYPTOWAT[[#This Row],[Name]],FIND(":",A183,1)+1,100)</f>
        <v>gnoeth</v>
      </c>
    </row>
    <row r="184" spans="1:4">
      <c r="A184"/>
      <c r="B184" s="1"/>
      <c r="C184" t="str">
        <f>MID(CRYPTOWAT[[#This Row],[Name]],1,FIND(":",A184,1)-1)</f>
        <v>poloniex</v>
      </c>
      <c r="D184" t="str">
        <f>MID(CRYPTOWAT[[#This Row],[Name]],FIND(":",A184,1)+1,100)</f>
        <v>gntbtc</v>
      </c>
    </row>
    <row r="185" spans="1:4">
      <c r="A185"/>
      <c r="B185" s="1"/>
      <c r="C185" t="str">
        <f>MID(CRYPTOWAT[[#This Row],[Name]],1,FIND(":",A185,1)-1)</f>
        <v>poloniex</v>
      </c>
      <c r="D185" t="str">
        <f>MID(CRYPTOWAT[[#This Row],[Name]],FIND(":",A185,1)+1,100)</f>
        <v>lskbtc</v>
      </c>
    </row>
    <row r="186" spans="1:4">
      <c r="A186"/>
      <c r="B186" s="1"/>
      <c r="C186" t="str">
        <f>MID(CRYPTOWAT[[#This Row],[Name]],1,FIND(":",A186,1)-1)</f>
        <v>poloniex</v>
      </c>
      <c r="D186" t="str">
        <f>MID(CRYPTOWAT[[#This Row],[Name]],FIND(":",A186,1)+1,100)</f>
        <v>lsketh</v>
      </c>
    </row>
    <row r="187" spans="1:4">
      <c r="A187"/>
      <c r="B187" s="1"/>
      <c r="C187" t="str">
        <f>MID(CRYPTOWAT[[#This Row],[Name]],1,FIND(":",A187,1)-1)</f>
        <v>poloniex</v>
      </c>
      <c r="D187" t="str">
        <f>MID(CRYPTOWAT[[#This Row],[Name]],FIND(":",A187,1)+1,100)</f>
        <v>ltcbtc</v>
      </c>
    </row>
    <row r="188" spans="1:4">
      <c r="A188"/>
      <c r="B188" s="1"/>
      <c r="C188" t="str">
        <f>MID(CRYPTOWAT[[#This Row],[Name]],1,FIND(":",A188,1)-1)</f>
        <v>poloniex</v>
      </c>
      <c r="D188" t="str">
        <f>MID(CRYPTOWAT[[#This Row],[Name]],FIND(":",A188,1)+1,100)</f>
        <v>ltcusd</v>
      </c>
    </row>
    <row r="189" spans="1:4">
      <c r="A189"/>
      <c r="B189" s="1"/>
      <c r="C189" t="str">
        <f>MID(CRYPTOWAT[[#This Row],[Name]],1,FIND(":",A189,1)-1)</f>
        <v>poloniex</v>
      </c>
      <c r="D189" t="str">
        <f>MID(CRYPTOWAT[[#This Row],[Name]],FIND(":",A189,1)+1,100)</f>
        <v>ltcxmr</v>
      </c>
    </row>
    <row r="190" spans="1:4">
      <c r="A190"/>
      <c r="B190" s="1"/>
      <c r="C190" t="str">
        <f>MID(CRYPTOWAT[[#This Row],[Name]],1,FIND(":",A190,1)-1)</f>
        <v>poloniex</v>
      </c>
      <c r="D190" t="str">
        <f>MID(CRYPTOWAT[[#This Row],[Name]],FIND(":",A190,1)+1,100)</f>
        <v>maidbtc</v>
      </c>
    </row>
    <row r="191" spans="1:4">
      <c r="A191"/>
      <c r="B191" s="1"/>
      <c r="C191" t="str">
        <f>MID(CRYPTOWAT[[#This Row],[Name]],1,FIND(":",A191,1)-1)</f>
        <v>poloniex</v>
      </c>
      <c r="D191" t="str">
        <f>MID(CRYPTOWAT[[#This Row],[Name]],FIND(":",A191,1)+1,100)</f>
        <v>navbtc</v>
      </c>
    </row>
    <row r="192" spans="1:4">
      <c r="A192"/>
      <c r="B192" s="1"/>
      <c r="C192" t="str">
        <f>MID(CRYPTOWAT[[#This Row],[Name]],1,FIND(":",A192,1)-1)</f>
        <v>poloniex</v>
      </c>
      <c r="D192" t="str">
        <f>MID(CRYPTOWAT[[#This Row],[Name]],FIND(":",A192,1)+1,100)</f>
        <v>nxtbtc</v>
      </c>
    </row>
    <row r="193" spans="1:4">
      <c r="A193"/>
      <c r="B193" s="1"/>
      <c r="C193" t="str">
        <f>MID(CRYPTOWAT[[#This Row],[Name]],1,FIND(":",A193,1)-1)</f>
        <v>poloniex</v>
      </c>
      <c r="D193" t="str">
        <f>MID(CRYPTOWAT[[#This Row],[Name]],FIND(":",A193,1)+1,100)</f>
        <v>nxtusd</v>
      </c>
    </row>
    <row r="194" spans="1:4">
      <c r="A194"/>
      <c r="B194" s="1"/>
      <c r="C194" t="str">
        <f>MID(CRYPTOWAT[[#This Row],[Name]],1,FIND(":",A194,1)-1)</f>
        <v>poloniex</v>
      </c>
      <c r="D194" t="str">
        <f>MID(CRYPTOWAT[[#This Row],[Name]],FIND(":",A194,1)+1,100)</f>
        <v>nxtxmr</v>
      </c>
    </row>
    <row r="195" spans="1:4">
      <c r="A195"/>
      <c r="B195" s="1"/>
      <c r="C195" t="str">
        <f>MID(CRYPTOWAT[[#This Row],[Name]],1,FIND(":",A195,1)-1)</f>
        <v>poloniex</v>
      </c>
      <c r="D195" t="str">
        <f>MID(CRYPTOWAT[[#This Row],[Name]],FIND(":",A195,1)+1,100)</f>
        <v>repbtc</v>
      </c>
    </row>
    <row r="196" spans="1:4">
      <c r="A196"/>
      <c r="B196" s="1"/>
      <c r="C196" t="str">
        <f>MID(CRYPTOWAT[[#This Row],[Name]],1,FIND(":",A196,1)-1)</f>
        <v>poloniex</v>
      </c>
      <c r="D196" t="str">
        <f>MID(CRYPTOWAT[[#This Row],[Name]],FIND(":",A196,1)+1,100)</f>
        <v>repeth</v>
      </c>
    </row>
    <row r="197" spans="1:4">
      <c r="A197"/>
      <c r="B197" s="1"/>
      <c r="C197" t="str">
        <f>MID(CRYPTOWAT[[#This Row],[Name]],1,FIND(":",A197,1)-1)</f>
        <v>poloniex</v>
      </c>
      <c r="D197" t="str">
        <f>MID(CRYPTOWAT[[#This Row],[Name]],FIND(":",A197,1)+1,100)</f>
        <v>repusd</v>
      </c>
    </row>
    <row r="198" spans="1:4">
      <c r="A198"/>
      <c r="B198" s="1"/>
      <c r="C198" t="str">
        <f>MID(CRYPTOWAT[[#This Row],[Name]],1,FIND(":",A198,1)-1)</f>
        <v>poloniex</v>
      </c>
      <c r="D198" t="str">
        <f>MID(CRYPTOWAT[[#This Row],[Name]],FIND(":",A198,1)+1,100)</f>
        <v>sdcbtc</v>
      </c>
    </row>
    <row r="199" spans="1:4">
      <c r="A199"/>
      <c r="B199" s="1"/>
      <c r="C199" t="str">
        <f>MID(CRYPTOWAT[[#This Row],[Name]],1,FIND(":",A199,1)-1)</f>
        <v>poloniex</v>
      </c>
      <c r="D199" t="str">
        <f>MID(CRYPTOWAT[[#This Row],[Name]],FIND(":",A199,1)+1,100)</f>
        <v>stratbtc</v>
      </c>
    </row>
    <row r="200" spans="1:4">
      <c r="A200"/>
      <c r="B200" s="1"/>
      <c r="C200" t="str">
        <f>MID(CRYPTOWAT[[#This Row],[Name]],1,FIND(":",A200,1)-1)</f>
        <v>poloniex</v>
      </c>
      <c r="D200" t="str">
        <f>MID(CRYPTOWAT[[#This Row],[Name]],FIND(":",A200,1)+1,100)</f>
        <v>strbtc</v>
      </c>
    </row>
    <row r="201" spans="1:4">
      <c r="A201"/>
      <c r="B201" s="1"/>
      <c r="C201" t="str">
        <f>MID(CRYPTOWAT[[#This Row],[Name]],1,FIND(":",A201,1)-1)</f>
        <v>poloniex</v>
      </c>
      <c r="D201" t="str">
        <f>MID(CRYPTOWAT[[#This Row],[Name]],FIND(":",A201,1)+1,100)</f>
        <v>strusd</v>
      </c>
    </row>
    <row r="202" spans="1:4">
      <c r="A202"/>
      <c r="B202" s="1"/>
      <c r="C202" t="str">
        <f>MID(CRYPTOWAT[[#This Row],[Name]],1,FIND(":",A202,1)-1)</f>
        <v>poloniex</v>
      </c>
      <c r="D202" t="str">
        <f>MID(CRYPTOWAT[[#This Row],[Name]],FIND(":",A202,1)+1,100)</f>
        <v>xmrbtc</v>
      </c>
    </row>
    <row r="203" spans="1:4">
      <c r="A203"/>
      <c r="B203" s="1"/>
      <c r="C203" t="str">
        <f>MID(CRYPTOWAT[[#This Row],[Name]],1,FIND(":",A203,1)-1)</f>
        <v>poloniex</v>
      </c>
      <c r="D203" t="str">
        <f>MID(CRYPTOWAT[[#This Row],[Name]],FIND(":",A203,1)+1,100)</f>
        <v>xmrusd</v>
      </c>
    </row>
    <row r="204" spans="1:4">
      <c r="A204"/>
      <c r="B204" s="1"/>
      <c r="C204" t="str">
        <f>MID(CRYPTOWAT[[#This Row],[Name]],1,FIND(":",A204,1)-1)</f>
        <v>poloniex</v>
      </c>
      <c r="D204" t="str">
        <f>MID(CRYPTOWAT[[#This Row],[Name]],FIND(":",A204,1)+1,100)</f>
        <v>xrpbtc</v>
      </c>
    </row>
    <row r="205" spans="1:4">
      <c r="A205"/>
      <c r="B205" s="1"/>
      <c r="C205" t="str">
        <f>MID(CRYPTOWAT[[#This Row],[Name]],1,FIND(":",A205,1)-1)</f>
        <v>poloniex</v>
      </c>
      <c r="D205" t="str">
        <f>MID(CRYPTOWAT[[#This Row],[Name]],FIND(":",A205,1)+1,100)</f>
        <v>xrpusd</v>
      </c>
    </row>
    <row r="206" spans="1:4">
      <c r="A206"/>
      <c r="B206" s="1"/>
      <c r="C206" t="str">
        <f>MID(CRYPTOWAT[[#This Row],[Name]],1,FIND(":",A206,1)-1)</f>
        <v>poloniex</v>
      </c>
      <c r="D206" t="str">
        <f>MID(CRYPTOWAT[[#This Row],[Name]],FIND(":",A206,1)+1,100)</f>
        <v>zecbtc</v>
      </c>
    </row>
    <row r="207" spans="1:4">
      <c r="A207"/>
      <c r="B207" s="1"/>
      <c r="C207" t="str">
        <f>MID(CRYPTOWAT[[#This Row],[Name]],1,FIND(":",A207,1)-1)</f>
        <v>poloniex</v>
      </c>
      <c r="D207" t="str">
        <f>MID(CRYPTOWAT[[#This Row],[Name]],FIND(":",A207,1)+1,100)</f>
        <v>zeceth</v>
      </c>
    </row>
    <row r="208" spans="1:4">
      <c r="A208"/>
      <c r="B208" s="1"/>
      <c r="C208" t="str">
        <f>MID(CRYPTOWAT[[#This Row],[Name]],1,FIND(":",A208,1)-1)</f>
        <v>poloniex</v>
      </c>
      <c r="D208" t="str">
        <f>MID(CRYPTOWAT[[#This Row],[Name]],FIND(":",A208,1)+1,100)</f>
        <v>zecusd</v>
      </c>
    </row>
    <row r="209" spans="1:4">
      <c r="A209"/>
      <c r="B209" s="1"/>
      <c r="C209" t="str">
        <f>MID(CRYPTOWAT[[#This Row],[Name]],1,FIND(":",A209,1)-1)</f>
        <v>poloniex</v>
      </c>
      <c r="D209" t="str">
        <f>MID(CRYPTOWAT[[#This Row],[Name]],FIND(":",A209,1)+1,100)</f>
        <v>zecxmr</v>
      </c>
    </row>
    <row r="210" spans="1:4">
      <c r="A210"/>
      <c r="B210" s="1"/>
      <c r="C210" t="str">
        <f>MID(CRYPTOWAT[[#This Row],[Name]],1,FIND(":",A210,1)-1)</f>
        <v>qryptos</v>
      </c>
      <c r="D210" t="str">
        <f>MID(CRYPTOWAT[[#This Row],[Name]],FIND(":",A210,1)+1,100)</f>
        <v>etcbtc</v>
      </c>
    </row>
    <row r="211" spans="1:4">
      <c r="A211"/>
      <c r="B211" s="1"/>
      <c r="C211" t="str">
        <f>MID(CRYPTOWAT[[#This Row],[Name]],1,FIND(":",A211,1)-1)</f>
        <v>qryptos</v>
      </c>
      <c r="D211" t="str">
        <f>MID(CRYPTOWAT[[#This Row],[Name]],FIND(":",A211,1)+1,100)</f>
        <v>ethbtc</v>
      </c>
    </row>
    <row r="212" spans="1:4">
      <c r="A212"/>
      <c r="B212" s="1"/>
      <c r="C212" t="str">
        <f>MID(CRYPTOWAT[[#This Row],[Name]],1,FIND(":",A212,1)-1)</f>
        <v>qryptos</v>
      </c>
      <c r="D212" t="str">
        <f>MID(CRYPTOWAT[[#This Row],[Name]],FIND(":",A212,1)+1,100)</f>
        <v>ltcbtc</v>
      </c>
    </row>
    <row r="213" spans="1:4">
      <c r="A213"/>
      <c r="B213" s="1"/>
      <c r="C213" t="str">
        <f>MID(CRYPTOWAT[[#This Row],[Name]],1,FIND(":",A213,1)-1)</f>
        <v>qryptos</v>
      </c>
      <c r="D213" t="str">
        <f>MID(CRYPTOWAT[[#This Row],[Name]],FIND(":",A213,1)+1,100)</f>
        <v>repbtc</v>
      </c>
    </row>
    <row r="214" spans="1:4">
      <c r="A214"/>
      <c r="B214" s="1"/>
      <c r="C214" t="str">
        <f>MID(CRYPTOWAT[[#This Row],[Name]],1,FIND(":",A214,1)-1)</f>
        <v>qryptos</v>
      </c>
      <c r="D214" t="str">
        <f>MID(CRYPTOWAT[[#This Row],[Name]],FIND(":",A214,1)+1,100)</f>
        <v>xmrbtc</v>
      </c>
    </row>
    <row r="215" spans="1:4">
      <c r="A215"/>
      <c r="B215" s="1"/>
      <c r="C215" t="str">
        <f>MID(CRYPTOWAT[[#This Row],[Name]],1,FIND(":",A215,1)-1)</f>
        <v>qryptos</v>
      </c>
      <c r="D215" t="str">
        <f>MID(CRYPTOWAT[[#This Row],[Name]],FIND(":",A215,1)+1,100)</f>
        <v>xrpbtc</v>
      </c>
    </row>
    <row r="216" spans="1:4">
      <c r="A216"/>
      <c r="B216" s="1"/>
      <c r="C216" t="str">
        <f>MID(CRYPTOWAT[[#This Row],[Name]],1,FIND(":",A216,1)-1)</f>
        <v>qryptos</v>
      </c>
      <c r="D216" t="str">
        <f>MID(CRYPTOWAT[[#This Row],[Name]],FIND(":",A216,1)+1,100)</f>
        <v>zecbtc</v>
      </c>
    </row>
    <row r="217" spans="1:4">
      <c r="A217"/>
      <c r="B217" s="1"/>
      <c r="C217" t="str">
        <f>MID(CRYPTOWAT[[#This Row],[Name]],1,FIND(":",A217,1)-1)</f>
        <v>quoine</v>
      </c>
      <c r="D217" t="str">
        <f>MID(CRYPTOWAT[[#This Row],[Name]],FIND(":",A217,1)+1,100)</f>
        <v>bchjpy</v>
      </c>
    </row>
    <row r="218" spans="1:4">
      <c r="A218"/>
      <c r="B218" s="1"/>
      <c r="C218" t="str">
        <f>MID(CRYPTOWAT[[#This Row],[Name]],1,FIND(":",A218,1)-1)</f>
        <v>quoine</v>
      </c>
      <c r="D218" t="str">
        <f>MID(CRYPTOWAT[[#This Row],[Name]],FIND(":",A218,1)+1,100)</f>
        <v>bchsgd</v>
      </c>
    </row>
    <row r="219" spans="1:4">
      <c r="A219"/>
      <c r="B219" s="1"/>
      <c r="C219" t="str">
        <f>MID(CRYPTOWAT[[#This Row],[Name]],1,FIND(":",A219,1)-1)</f>
        <v>quoine</v>
      </c>
      <c r="D219" t="str">
        <f>MID(CRYPTOWAT[[#This Row],[Name]],FIND(":",A219,1)+1,100)</f>
        <v>bchusd</v>
      </c>
    </row>
    <row r="220" spans="1:4">
      <c r="A220"/>
      <c r="B220" s="1"/>
      <c r="C220" t="str">
        <f>MID(CRYPTOWAT[[#This Row],[Name]],1,FIND(":",A220,1)-1)</f>
        <v>quoine</v>
      </c>
      <c r="D220" t="str">
        <f>MID(CRYPTOWAT[[#This Row],[Name]],FIND(":",A220,1)+1,100)</f>
        <v>btcaud</v>
      </c>
    </row>
    <row r="221" spans="1:4">
      <c r="A221"/>
      <c r="B221" s="1"/>
      <c r="C221" t="str">
        <f>MID(CRYPTOWAT[[#This Row],[Name]],1,FIND(":",A221,1)-1)</f>
        <v>quoine</v>
      </c>
      <c r="D221" t="str">
        <f>MID(CRYPTOWAT[[#This Row],[Name]],FIND(":",A221,1)+1,100)</f>
        <v>btccny</v>
      </c>
    </row>
    <row r="222" spans="1:4">
      <c r="A222"/>
      <c r="B222" s="1"/>
      <c r="C222" t="str">
        <f>MID(CRYPTOWAT[[#This Row],[Name]],1,FIND(":",A222,1)-1)</f>
        <v>quoine</v>
      </c>
      <c r="D222" t="str">
        <f>MID(CRYPTOWAT[[#This Row],[Name]],FIND(":",A222,1)+1,100)</f>
        <v>btceur</v>
      </c>
    </row>
    <row r="223" spans="1:4">
      <c r="A223"/>
      <c r="B223" s="1"/>
      <c r="C223" t="str">
        <f>MID(CRYPTOWAT[[#This Row],[Name]],1,FIND(":",A223,1)-1)</f>
        <v>quoine</v>
      </c>
      <c r="D223" t="str">
        <f>MID(CRYPTOWAT[[#This Row],[Name]],FIND(":",A223,1)+1,100)</f>
        <v>btchkd</v>
      </c>
    </row>
    <row r="224" spans="1:4">
      <c r="A224"/>
      <c r="B224" s="1"/>
      <c r="C224" t="str">
        <f>MID(CRYPTOWAT[[#This Row],[Name]],1,FIND(":",A224,1)-1)</f>
        <v>quoine</v>
      </c>
      <c r="D224" t="str">
        <f>MID(CRYPTOWAT[[#This Row],[Name]],FIND(":",A224,1)+1,100)</f>
        <v>btcidr</v>
      </c>
    </row>
    <row r="225" spans="1:4">
      <c r="A225"/>
      <c r="B225" s="1"/>
      <c r="C225" t="str">
        <f>MID(CRYPTOWAT[[#This Row],[Name]],1,FIND(":",A225,1)-1)</f>
        <v>quoine</v>
      </c>
      <c r="D225" t="str">
        <f>MID(CRYPTOWAT[[#This Row],[Name]],FIND(":",A225,1)+1,100)</f>
        <v>btcinr</v>
      </c>
    </row>
    <row r="226" spans="1:4">
      <c r="A226"/>
      <c r="B226" s="1"/>
      <c r="C226" t="str">
        <f>MID(CRYPTOWAT[[#This Row],[Name]],1,FIND(":",A226,1)-1)</f>
        <v>quoine</v>
      </c>
      <c r="D226" t="str">
        <f>MID(CRYPTOWAT[[#This Row],[Name]],FIND(":",A226,1)+1,100)</f>
        <v>btcjpy</v>
      </c>
    </row>
    <row r="227" spans="1:4">
      <c r="A227"/>
      <c r="B227" s="1"/>
      <c r="C227" t="str">
        <f>MID(CRYPTOWAT[[#This Row],[Name]],1,FIND(":",A227,1)-1)</f>
        <v>quoine</v>
      </c>
      <c r="D227" t="str">
        <f>MID(CRYPTOWAT[[#This Row],[Name]],FIND(":",A227,1)+1,100)</f>
        <v>btcphp</v>
      </c>
    </row>
    <row r="228" spans="1:4">
      <c r="A228"/>
      <c r="B228" s="1"/>
      <c r="C228" t="str">
        <f>MID(CRYPTOWAT[[#This Row],[Name]],1,FIND(":",A228,1)-1)</f>
        <v>quoine</v>
      </c>
      <c r="D228" t="str">
        <f>MID(CRYPTOWAT[[#This Row],[Name]],FIND(":",A228,1)+1,100)</f>
        <v>btcsgd</v>
      </c>
    </row>
    <row r="229" spans="1:4">
      <c r="A229"/>
      <c r="B229" s="1"/>
      <c r="C229" t="str">
        <f>MID(CRYPTOWAT[[#This Row],[Name]],1,FIND(":",A229,1)-1)</f>
        <v>quoine</v>
      </c>
      <c r="D229" t="str">
        <f>MID(CRYPTOWAT[[#This Row],[Name]],FIND(":",A229,1)+1,100)</f>
        <v>btcusd</v>
      </c>
    </row>
    <row r="230" spans="1:4">
      <c r="A230"/>
      <c r="B230" s="1"/>
      <c r="C230" t="str">
        <f>MID(CRYPTOWAT[[#This Row],[Name]],1,FIND(":",A230,1)-1)</f>
        <v>quoine</v>
      </c>
      <c r="D230" t="str">
        <f>MID(CRYPTOWAT[[#This Row],[Name]],FIND(":",A230,1)+1,100)</f>
        <v>ethaud</v>
      </c>
    </row>
    <row r="231" spans="1:4">
      <c r="A231"/>
      <c r="B231" s="1"/>
      <c r="C231" t="str">
        <f>MID(CRYPTOWAT[[#This Row],[Name]],1,FIND(":",A231,1)-1)</f>
        <v>quoine</v>
      </c>
      <c r="D231" t="str">
        <f>MID(CRYPTOWAT[[#This Row],[Name]],FIND(":",A231,1)+1,100)</f>
        <v>ethbtc</v>
      </c>
    </row>
    <row r="232" spans="1:4">
      <c r="A232"/>
      <c r="B232" s="1"/>
      <c r="C232" t="str">
        <f>MID(CRYPTOWAT[[#This Row],[Name]],1,FIND(":",A232,1)-1)</f>
        <v>quoine</v>
      </c>
      <c r="D232" t="str">
        <f>MID(CRYPTOWAT[[#This Row],[Name]],FIND(":",A232,1)+1,100)</f>
        <v>ethcny</v>
      </c>
    </row>
    <row r="233" spans="1:4">
      <c r="A233"/>
      <c r="B233" s="1"/>
      <c r="C233" t="str">
        <f>MID(CRYPTOWAT[[#This Row],[Name]],1,FIND(":",A233,1)-1)</f>
        <v>quoine</v>
      </c>
      <c r="D233" t="str">
        <f>MID(CRYPTOWAT[[#This Row],[Name]],FIND(":",A233,1)+1,100)</f>
        <v>etheur</v>
      </c>
    </row>
    <row r="234" spans="1:4">
      <c r="A234"/>
      <c r="B234" s="1"/>
      <c r="C234" t="str">
        <f>MID(CRYPTOWAT[[#This Row],[Name]],1,FIND(":",A234,1)-1)</f>
        <v>quoine</v>
      </c>
      <c r="D234" t="str">
        <f>MID(CRYPTOWAT[[#This Row],[Name]],FIND(":",A234,1)+1,100)</f>
        <v>ethhkd</v>
      </c>
    </row>
    <row r="235" spans="1:4">
      <c r="A235"/>
      <c r="B235" s="1"/>
      <c r="C235" t="str">
        <f>MID(CRYPTOWAT[[#This Row],[Name]],1,FIND(":",A235,1)-1)</f>
        <v>quoine</v>
      </c>
      <c r="D235" t="str">
        <f>MID(CRYPTOWAT[[#This Row],[Name]],FIND(":",A235,1)+1,100)</f>
        <v>ethidr</v>
      </c>
    </row>
    <row r="236" spans="1:4">
      <c r="A236"/>
      <c r="B236" s="1"/>
      <c r="C236" t="str">
        <f>MID(CRYPTOWAT[[#This Row],[Name]],1,FIND(":",A236,1)-1)</f>
        <v>quoine</v>
      </c>
      <c r="D236" t="str">
        <f>MID(CRYPTOWAT[[#This Row],[Name]],FIND(":",A236,1)+1,100)</f>
        <v>ethinr</v>
      </c>
    </row>
    <row r="237" spans="1:4">
      <c r="A237"/>
      <c r="B237" s="1"/>
      <c r="C237" t="str">
        <f>MID(CRYPTOWAT[[#This Row],[Name]],1,FIND(":",A237,1)-1)</f>
        <v>quoine</v>
      </c>
      <c r="D237" t="str">
        <f>MID(CRYPTOWAT[[#This Row],[Name]],FIND(":",A237,1)+1,100)</f>
        <v>ethjpy</v>
      </c>
    </row>
    <row r="238" spans="1:4">
      <c r="A238"/>
      <c r="B238" s="1"/>
      <c r="C238" t="str">
        <f>MID(CRYPTOWAT[[#This Row],[Name]],1,FIND(":",A238,1)-1)</f>
        <v>quoine</v>
      </c>
      <c r="D238" t="str">
        <f>MID(CRYPTOWAT[[#This Row],[Name]],FIND(":",A238,1)+1,100)</f>
        <v>ethphp</v>
      </c>
    </row>
    <row r="239" spans="1:4">
      <c r="A239"/>
      <c r="B239" s="1"/>
      <c r="C239" t="str">
        <f>MID(CRYPTOWAT[[#This Row],[Name]],1,FIND(":",A239,1)-1)</f>
        <v>quoine</v>
      </c>
      <c r="D239" t="str">
        <f>MID(CRYPTOWAT[[#This Row],[Name]],FIND(":",A239,1)+1,100)</f>
        <v>ethsgd</v>
      </c>
    </row>
    <row r="240" spans="1:4">
      <c r="A240"/>
      <c r="B240" s="1"/>
      <c r="C240" t="str">
        <f>MID(CRYPTOWAT[[#This Row],[Name]],1,FIND(":",A240,1)-1)</f>
        <v>quoine</v>
      </c>
      <c r="D240" t="str">
        <f>MID(CRYPTOWAT[[#This Row],[Name]],FIND(":",A240,1)+1,100)</f>
        <v>ethusd</v>
      </c>
    </row>
    <row r="241" spans="1:2">
      <c r="B241" s="1"/>
    </row>
    <row r="242" spans="1:2">
      <c r="A242" s="1"/>
      <c r="B242" s="1"/>
    </row>
    <row r="243" spans="1:2">
      <c r="A243" s="1"/>
      <c r="B243" s="1"/>
    </row>
    <row r="244" spans="1:2">
      <c r="A244" s="1"/>
      <c r="B244" s="1"/>
    </row>
    <row r="245" spans="1:2">
      <c r="A245" s="1"/>
      <c r="B245" s="1"/>
    </row>
    <row r="246" spans="1:2">
      <c r="A246" s="1"/>
      <c r="B246" s="1"/>
    </row>
    <row r="247" spans="1:2">
      <c r="A247" s="1"/>
      <c r="B247" s="1"/>
    </row>
    <row r="248" spans="1:2">
      <c r="A248" s="1"/>
      <c r="B248" s="1"/>
    </row>
    <row r="249" spans="1:2">
      <c r="A249" s="1"/>
      <c r="B249" s="1"/>
    </row>
    <row r="250" spans="1:2">
      <c r="A250" s="1"/>
      <c r="B250" s="1"/>
    </row>
    <row r="251" spans="1:2">
      <c r="A251" s="1"/>
      <c r="B251" s="1"/>
    </row>
    <row r="252" spans="1:2">
      <c r="A252" s="1"/>
      <c r="B252" s="1"/>
    </row>
    <row r="253" spans="1:2">
      <c r="A253" s="1"/>
      <c r="B253" s="1"/>
    </row>
    <row r="254" spans="1:2">
      <c r="A254" s="1"/>
      <c r="B254" s="1"/>
    </row>
  </sheetData>
  <pageMargins left="0.7" right="0.7" top="0.75" bottom="0.75" header="0.3" footer="0.3"/>
  <pageSetup paperSize="9" orientation="portrait" verticalDpi="0"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/>
  </sheetPr>
  <dimension ref="A1:K21"/>
  <sheetViews>
    <sheetView topLeftCell="B1" workbookViewId="0">
      <selection sqref="A1:I21"/>
    </sheetView>
  </sheetViews>
  <sheetFormatPr defaultRowHeight="13.8"/>
  <cols>
    <col min="1" max="1" width="8.19921875" hidden="1" customWidth="1"/>
    <col min="2" max="2" width="25.09765625" bestFit="1" customWidth="1"/>
    <col min="3" max="3" width="27.5" bestFit="1" customWidth="1"/>
    <col min="4" max="4" width="15.3984375" bestFit="1" customWidth="1"/>
    <col min="5" max="5" width="17.5" bestFit="1" customWidth="1"/>
    <col min="6" max="6" width="24" bestFit="1" customWidth="1"/>
    <col min="7" max="7" width="14.3984375" bestFit="1" customWidth="1"/>
    <col min="8" max="8" width="8.5" bestFit="1" customWidth="1"/>
    <col min="9" max="9" width="13.19921875" bestFit="1" customWidth="1"/>
    <col min="10" max="10" width="12.5" bestFit="1" customWidth="1"/>
    <col min="11" max="11" width="11.8984375" style="12" bestFit="1" customWidth="1"/>
  </cols>
  <sheetData>
    <row r="1" spans="1:11">
      <c r="A1"/>
      <c r="B1" s="1"/>
      <c r="C1" s="1"/>
      <c r="D1" s="1"/>
      <c r="E1" s="1"/>
      <c r="F1"/>
      <c r="G1" s="22" t="s">
        <v>88</v>
      </c>
      <c r="H1" s="23" t="s">
        <v>18</v>
      </c>
      <c r="I1" s="28" t="s">
        <v>81</v>
      </c>
      <c r="K1"/>
    </row>
    <row r="2" spans="1:11">
      <c r="A2" s="1"/>
      <c r="B2" s="1"/>
      <c r="C2" s="1"/>
      <c r="D2" s="1"/>
      <c r="E2" s="1"/>
      <c r="F2"/>
      <c r="G2" s="29" t="str">
        <f t="shared" ref="G2:G21" si="0">LOWER(CONCATENATE("bxinth:",$C2,$B2))</f>
        <v>bxinth:btcthb</v>
      </c>
      <c r="H2" s="26" t="str">
        <f t="shared" ref="H2:H21" si="1">LOWER(CONCATENATE($C2,$B2))</f>
        <v>btcthb</v>
      </c>
      <c r="I2" s="30">
        <f t="shared" ref="I2:I21" si="2">$E2</f>
        <v>149002</v>
      </c>
      <c r="K2"/>
    </row>
    <row r="3" spans="1:11">
      <c r="A3" s="1"/>
      <c r="B3" s="1"/>
      <c r="C3" s="1"/>
      <c r="D3" s="1"/>
      <c r="E3" s="1"/>
      <c r="F3"/>
      <c r="G3" s="29" t="str">
        <f t="shared" si="0"/>
        <v>bxinth:eththb</v>
      </c>
      <c r="H3" s="26" t="str">
        <f t="shared" si="1"/>
        <v>eththb</v>
      </c>
      <c r="I3" s="30">
        <f t="shared" si="2"/>
        <v>10749</v>
      </c>
      <c r="K3"/>
    </row>
    <row r="4" spans="1:11">
      <c r="A4" s="1"/>
      <c r="B4" s="1"/>
      <c r="C4" s="1"/>
      <c r="D4" s="1"/>
      <c r="E4" s="1"/>
      <c r="F4"/>
      <c r="G4" s="29" t="str">
        <f t="shared" si="0"/>
        <v>bxinth:dasthb</v>
      </c>
      <c r="H4" s="26" t="str">
        <f t="shared" si="1"/>
        <v>dasthb</v>
      </c>
      <c r="I4" s="30">
        <f t="shared" si="2"/>
        <v>11034.002</v>
      </c>
      <c r="K4"/>
    </row>
    <row r="5" spans="1:11">
      <c r="A5" s="1"/>
      <c r="B5" s="1"/>
      <c r="C5" s="1"/>
      <c r="D5" s="1"/>
      <c r="E5" s="1"/>
      <c r="F5"/>
      <c r="G5" s="29" t="str">
        <f t="shared" si="0"/>
        <v>bxinth:repthb</v>
      </c>
      <c r="H5" s="26" t="str">
        <f t="shared" si="1"/>
        <v>repthb</v>
      </c>
      <c r="I5" s="30">
        <f t="shared" si="2"/>
        <v>767.76</v>
      </c>
      <c r="K5"/>
    </row>
    <row r="6" spans="1:11">
      <c r="A6" s="1"/>
      <c r="B6" s="1"/>
      <c r="C6" s="1"/>
      <c r="D6" s="1"/>
      <c r="E6" s="1"/>
      <c r="F6"/>
      <c r="G6" s="29" t="str">
        <f t="shared" si="0"/>
        <v>bxinth:ethbtc</v>
      </c>
      <c r="H6" s="26" t="str">
        <f t="shared" si="1"/>
        <v>ethbtc</v>
      </c>
      <c r="I6" s="30">
        <f t="shared" si="2"/>
        <v>7.305499E-2</v>
      </c>
      <c r="K6"/>
    </row>
    <row r="7" spans="1:11">
      <c r="A7" s="1"/>
      <c r="B7" s="1"/>
      <c r="C7" s="1"/>
      <c r="D7" s="1"/>
      <c r="E7" s="1"/>
      <c r="F7"/>
      <c r="G7" s="29" t="str">
        <f t="shared" si="0"/>
        <v>bxinth:dogbtc</v>
      </c>
      <c r="H7" s="26" t="str">
        <f t="shared" si="1"/>
        <v>dogbtc</v>
      </c>
      <c r="I7" s="30">
        <f t="shared" si="2"/>
        <v>4.4000000000000002E-7</v>
      </c>
      <c r="K7"/>
    </row>
    <row r="8" spans="1:11">
      <c r="A8" s="1"/>
      <c r="B8" s="1"/>
      <c r="C8" s="1"/>
      <c r="D8" s="1"/>
      <c r="E8" s="1"/>
      <c r="F8"/>
      <c r="G8" s="29" t="str">
        <f t="shared" si="0"/>
        <v>bxinth:ftcbtc</v>
      </c>
      <c r="H8" s="26" t="str">
        <f t="shared" si="1"/>
        <v>ftcbtc</v>
      </c>
      <c r="I8" s="30">
        <f t="shared" si="2"/>
        <v>1.379E-5</v>
      </c>
      <c r="K8"/>
    </row>
    <row r="9" spans="1:11">
      <c r="A9" s="1"/>
      <c r="B9" s="1"/>
      <c r="C9" s="1"/>
      <c r="D9" s="1"/>
      <c r="E9" s="1"/>
      <c r="F9"/>
      <c r="G9" s="29" t="str">
        <f t="shared" si="0"/>
        <v>bxinth:gnothb</v>
      </c>
      <c r="H9" s="26" t="str">
        <f t="shared" si="1"/>
        <v>gnothb</v>
      </c>
      <c r="I9" s="30">
        <f t="shared" si="2"/>
        <v>5007</v>
      </c>
      <c r="K9"/>
    </row>
    <row r="10" spans="1:11">
      <c r="A10" s="1"/>
      <c r="B10" s="1"/>
      <c r="C10" s="1"/>
      <c r="D10" s="1"/>
      <c r="E10" s="1"/>
      <c r="F10"/>
      <c r="G10" s="29" t="str">
        <f t="shared" si="0"/>
        <v>bxinth:hypbtc</v>
      </c>
      <c r="H10" s="26" t="str">
        <f t="shared" si="1"/>
        <v>hypbtc</v>
      </c>
      <c r="I10" s="30">
        <f t="shared" si="2"/>
        <v>3.8000000000000001E-7</v>
      </c>
      <c r="K10"/>
    </row>
    <row r="11" spans="1:11">
      <c r="A11" s="1"/>
      <c r="B11" s="1"/>
      <c r="C11" s="1"/>
      <c r="D11" s="1"/>
      <c r="E11" s="1"/>
      <c r="F11"/>
      <c r="G11" s="29" t="str">
        <f t="shared" si="0"/>
        <v>bxinth:ltcbtc</v>
      </c>
      <c r="H11" s="26" t="str">
        <f t="shared" si="1"/>
        <v>ltcbtc</v>
      </c>
      <c r="I11" s="30">
        <f t="shared" si="2"/>
        <v>1.7469999999999999E-2</v>
      </c>
      <c r="K11"/>
    </row>
    <row r="12" spans="1:11">
      <c r="A12" s="1"/>
      <c r="B12" s="1"/>
      <c r="C12" s="1"/>
      <c r="D12" s="1"/>
      <c r="E12" s="1"/>
      <c r="F12"/>
      <c r="G12" s="29" t="str">
        <f t="shared" si="0"/>
        <v>bxinth:nmcbtc</v>
      </c>
      <c r="H12" s="26" t="str">
        <f t="shared" si="1"/>
        <v>nmcbtc</v>
      </c>
      <c r="I12" s="30">
        <f t="shared" si="2"/>
        <v>4.0099999999999999E-4</v>
      </c>
      <c r="K12"/>
    </row>
    <row r="13" spans="1:11">
      <c r="A13" s="1"/>
      <c r="B13" s="1"/>
      <c r="C13" s="1"/>
      <c r="D13" s="1"/>
      <c r="E13" s="1"/>
      <c r="F13"/>
      <c r="G13" s="29" t="str">
        <f t="shared" si="0"/>
        <v>bxinth:omgthb</v>
      </c>
      <c r="H13" s="26" t="str">
        <f t="shared" si="1"/>
        <v>omgthb</v>
      </c>
      <c r="I13" s="30">
        <f t="shared" si="2"/>
        <v>372</v>
      </c>
      <c r="K13"/>
    </row>
    <row r="14" spans="1:11">
      <c r="A14" s="1"/>
      <c r="B14" s="1"/>
      <c r="C14" s="1"/>
      <c r="D14" s="1"/>
      <c r="E14" s="1"/>
      <c r="F14"/>
      <c r="G14" s="29" t="str">
        <f t="shared" si="0"/>
        <v>bxinth:pndbtc</v>
      </c>
      <c r="H14" s="26" t="str">
        <f t="shared" si="1"/>
        <v>pndbtc</v>
      </c>
      <c r="I14" s="30">
        <f t="shared" si="2"/>
        <v>1E-8</v>
      </c>
      <c r="K14"/>
    </row>
    <row r="15" spans="1:11">
      <c r="A15" s="1"/>
      <c r="B15" s="1"/>
      <c r="C15" s="1"/>
      <c r="D15" s="1"/>
      <c r="E15" s="1"/>
      <c r="F15"/>
      <c r="G15" s="29" t="str">
        <f t="shared" si="0"/>
        <v>bxinth:ppcbtc</v>
      </c>
      <c r="H15" s="26" t="str">
        <f t="shared" si="1"/>
        <v>ppcbtc</v>
      </c>
      <c r="I15" s="30">
        <f t="shared" si="2"/>
        <v>3.1117999999999999E-4</v>
      </c>
      <c r="K15"/>
    </row>
    <row r="16" spans="1:11">
      <c r="A16" s="1"/>
      <c r="B16" s="1"/>
      <c r="C16" s="1"/>
      <c r="D16" s="1"/>
      <c r="E16" s="1"/>
      <c r="F16"/>
      <c r="G16" s="29" t="str">
        <f t="shared" si="0"/>
        <v>bxinth:qrkbtc</v>
      </c>
      <c r="H16" s="26" t="str">
        <f t="shared" si="1"/>
        <v>qrkbtc</v>
      </c>
      <c r="I16" s="30">
        <f t="shared" si="2"/>
        <v>6.9700000000000002E-6</v>
      </c>
      <c r="K16"/>
    </row>
    <row r="17" spans="1:11">
      <c r="A17" s="1"/>
      <c r="B17" s="1"/>
      <c r="C17" s="1"/>
      <c r="D17" s="1"/>
      <c r="E17" s="1"/>
      <c r="F17"/>
      <c r="G17" s="29" t="str">
        <f t="shared" si="0"/>
        <v>bxinth:xcnbtc</v>
      </c>
      <c r="H17" s="26" t="str">
        <f t="shared" si="1"/>
        <v>xcnbtc</v>
      </c>
      <c r="I17" s="30">
        <f t="shared" si="2"/>
        <v>1.59E-6</v>
      </c>
      <c r="K17"/>
    </row>
    <row r="18" spans="1:11">
      <c r="A18" s="1"/>
      <c r="B18" s="1"/>
      <c r="C18" s="1"/>
      <c r="D18" s="1"/>
      <c r="E18" s="1"/>
      <c r="F18"/>
      <c r="G18" s="29" t="str">
        <f t="shared" si="0"/>
        <v>bxinth:xpmbtc</v>
      </c>
      <c r="H18" s="26" t="str">
        <f t="shared" si="1"/>
        <v>xpmbtc</v>
      </c>
      <c r="I18" s="30">
        <f t="shared" si="2"/>
        <v>1.1998999999999999E-4</v>
      </c>
      <c r="K18"/>
    </row>
    <row r="19" spans="1:11">
      <c r="A19" s="1"/>
      <c r="B19" s="1"/>
      <c r="C19" s="1"/>
      <c r="D19" s="1"/>
      <c r="E19" s="1"/>
      <c r="F19"/>
      <c r="G19" s="29" t="str">
        <f t="shared" si="0"/>
        <v>bxinth:xpybtc</v>
      </c>
      <c r="H19" s="26" t="str">
        <f t="shared" si="1"/>
        <v>xpybtc</v>
      </c>
      <c r="I19" s="30">
        <f t="shared" si="2"/>
        <v>4.9599999999999999E-6</v>
      </c>
      <c r="K19"/>
    </row>
    <row r="20" spans="1:11">
      <c r="A20" s="1"/>
      <c r="B20" s="1"/>
      <c r="C20" s="1"/>
      <c r="D20" s="1"/>
      <c r="E20" s="1"/>
      <c r="F20"/>
      <c r="G20" s="29" t="str">
        <f t="shared" si="0"/>
        <v>bxinth:xrpthb</v>
      </c>
      <c r="H20" s="26" t="str">
        <f t="shared" si="1"/>
        <v>xrpthb</v>
      </c>
      <c r="I20" s="30">
        <f t="shared" si="2"/>
        <v>7.39</v>
      </c>
      <c r="K20"/>
    </row>
    <row r="21" spans="1:11" ht="14.4" thickBot="1">
      <c r="A21" s="1"/>
      <c r="B21" s="1"/>
      <c r="C21" s="1"/>
      <c r="D21" s="1"/>
      <c r="E21" s="1"/>
      <c r="F21"/>
      <c r="G21" s="31" t="str">
        <f t="shared" si="0"/>
        <v>bxinth:zecbtc</v>
      </c>
      <c r="H21" s="32" t="str">
        <f t="shared" si="1"/>
        <v>zecbtc</v>
      </c>
      <c r="I21" s="33">
        <f t="shared" si="2"/>
        <v>5.2600000000000001E-2</v>
      </c>
      <c r="K21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/>
  </sheetPr>
  <dimension ref="A1:P260"/>
  <sheetViews>
    <sheetView workbookViewId="0">
      <selection sqref="A1:P258"/>
    </sheetView>
  </sheetViews>
  <sheetFormatPr defaultColWidth="14.09765625" defaultRowHeight="13.8"/>
  <cols>
    <col min="1" max="1" width="23.5" bestFit="1" customWidth="1"/>
    <col min="2" max="2" width="15.796875" bestFit="1" customWidth="1"/>
    <col min="3" max="3" width="15.296875" bestFit="1" customWidth="1"/>
    <col min="4" max="4" width="18.3984375" bestFit="1" customWidth="1"/>
    <col min="5" max="5" width="15.296875" bestFit="1" customWidth="1"/>
    <col min="6" max="6" width="22.796875" bestFit="1" customWidth="1"/>
    <col min="7" max="7" width="22.3984375" bestFit="1" customWidth="1"/>
    <col min="8" max="8" width="14.296875" bestFit="1" customWidth="1"/>
    <col min="9" max="9" width="14.69921875" bestFit="1" customWidth="1"/>
    <col min="10" max="10" width="26.09765625" bestFit="1" customWidth="1"/>
    <col min="11" max="11" width="25.8984375" bestFit="1" customWidth="1"/>
    <col min="12" max="12" width="19.296875" bestFit="1" customWidth="1"/>
    <col min="13" max="13" width="22.3984375" bestFit="1" customWidth="1"/>
    <col min="14" max="14" width="16.3984375" style="27" bestFit="1" customWidth="1"/>
    <col min="15" max="15" width="9.59765625" style="27" bestFit="1" customWidth="1"/>
    <col min="16" max="16" width="13.09765625" style="27" bestFit="1" customWidth="1"/>
  </cols>
  <sheetData>
    <row r="1" spans="1:16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2" t="s">
        <v>88</v>
      </c>
      <c r="O1" s="23" t="s">
        <v>18</v>
      </c>
      <c r="P1" s="24" t="s">
        <v>81</v>
      </c>
    </row>
    <row r="2" spans="1:16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29" t="str">
        <f>LOWER(CONCATENATE("bittrex:",SUBSTITUTE(bittrex[[#This Row],[Column1.MarketName]],"-","")))</f>
        <v>bittrex:btc1st</v>
      </c>
      <c r="O2" s="26" t="str">
        <f>LOWER(CONCATENATE(SUBSTITUTE(bittrex[[#This Row],[Column1.MarketName]],"-","")))</f>
        <v>btc1st</v>
      </c>
      <c r="P2" s="37">
        <f>bittrex[[#This Row],[Column1.Last]]</f>
        <v>9.2159999999999999E-5</v>
      </c>
    </row>
    <row r="3" spans="1:16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29" t="str">
        <f>LOWER(CONCATENATE("bittrex:",SUBSTITUTE(bittrex[[#This Row],[Column1.MarketName]],"-","")))</f>
        <v>bittrex:btc2give</v>
      </c>
      <c r="O3" s="26" t="str">
        <f>LOWER(CONCATENATE(SUBSTITUTE(bittrex[[#This Row],[Column1.MarketName]],"-","")))</f>
        <v>btc2give</v>
      </c>
      <c r="P3" s="37">
        <f>bittrex[[#This Row],[Column1.Last]]</f>
        <v>1.26E-6</v>
      </c>
    </row>
    <row r="4" spans="1:16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29" t="str">
        <f>LOWER(CONCATENATE("bittrex:",SUBSTITUTE(bittrex[[#This Row],[Column1.MarketName]],"-","")))</f>
        <v>bittrex:btcaby</v>
      </c>
      <c r="O4" s="26" t="str">
        <f>LOWER(CONCATENATE(SUBSTITUTE(bittrex[[#This Row],[Column1.MarketName]],"-","")))</f>
        <v>btcaby</v>
      </c>
      <c r="P4" s="37">
        <f>bittrex[[#This Row],[Column1.Last]]</f>
        <v>1.7400000000000001E-6</v>
      </c>
    </row>
    <row r="5" spans="1:16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29" t="str">
        <f>LOWER(CONCATENATE("bittrex:",SUBSTITUTE(bittrex[[#This Row],[Column1.MarketName]],"-","")))</f>
        <v>bittrex:btcadt</v>
      </c>
      <c r="O5" s="26" t="str">
        <f>LOWER(CONCATENATE(SUBSTITUTE(bittrex[[#This Row],[Column1.MarketName]],"-","")))</f>
        <v>btcadt</v>
      </c>
      <c r="P5" s="37">
        <f>bittrex[[#This Row],[Column1.Last]]</f>
        <v>1.0509999999999999E-5</v>
      </c>
    </row>
    <row r="6" spans="1:16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29" t="str">
        <f>LOWER(CONCATENATE("bittrex:",SUBSTITUTE(bittrex[[#This Row],[Column1.MarketName]],"-","")))</f>
        <v>bittrex:btcadx</v>
      </c>
      <c r="O6" s="26" t="str">
        <f>LOWER(CONCATENATE(SUBSTITUTE(bittrex[[#This Row],[Column1.MarketName]],"-","")))</f>
        <v>btcadx</v>
      </c>
      <c r="P6" s="37">
        <f>bittrex[[#This Row],[Column1.Last]]</f>
        <v>2.0853000000000001E-4</v>
      </c>
    </row>
    <row r="7" spans="1:16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29" t="str">
        <f>LOWER(CONCATENATE("bittrex:",SUBSTITUTE(bittrex[[#This Row],[Column1.MarketName]],"-","")))</f>
        <v>bittrex:btcaeon</v>
      </c>
      <c r="O7" s="26" t="str">
        <f>LOWER(CONCATENATE(SUBSTITUTE(bittrex[[#This Row],[Column1.MarketName]],"-","")))</f>
        <v>btcaeon</v>
      </c>
      <c r="P7" s="37">
        <f>bittrex[[#This Row],[Column1.Last]]</f>
        <v>1.9008E-4</v>
      </c>
    </row>
    <row r="8" spans="1:16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29" t="str">
        <f>LOWER(CONCATENATE("bittrex:",SUBSTITUTE(bittrex[[#This Row],[Column1.MarketName]],"-","")))</f>
        <v>bittrex:btcagrs</v>
      </c>
      <c r="O8" s="26" t="str">
        <f>LOWER(CONCATENATE(SUBSTITUTE(bittrex[[#This Row],[Column1.MarketName]],"-","")))</f>
        <v>btcagrs</v>
      </c>
      <c r="P8" s="37">
        <f>bittrex[[#This Row],[Column1.Last]]</f>
        <v>8.3599999999999999E-5</v>
      </c>
    </row>
    <row r="9" spans="1:16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29" t="str">
        <f>LOWER(CONCATENATE("bittrex:",SUBSTITUTE(bittrex[[#This Row],[Column1.MarketName]],"-","")))</f>
        <v>bittrex:btcamp</v>
      </c>
      <c r="O9" s="26" t="str">
        <f>LOWER(CONCATENATE(SUBSTITUTE(bittrex[[#This Row],[Column1.MarketName]],"-","")))</f>
        <v>btcamp</v>
      </c>
      <c r="P9" s="37">
        <f>bittrex[[#This Row],[Column1.Last]]</f>
        <v>4.3600000000000003E-5</v>
      </c>
    </row>
    <row r="10" spans="1:16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29" t="str">
        <f>LOWER(CONCATENATE("bittrex:",SUBSTITUTE(bittrex[[#This Row],[Column1.MarketName]],"-","")))</f>
        <v>bittrex:btcant</v>
      </c>
      <c r="O10" s="26" t="str">
        <f>LOWER(CONCATENATE(SUBSTITUTE(bittrex[[#This Row],[Column1.MarketName]],"-","")))</f>
        <v>btcant</v>
      </c>
      <c r="P10" s="37">
        <f>bittrex[[#This Row],[Column1.Last]]</f>
        <v>4.9762000000000005E-4</v>
      </c>
    </row>
    <row r="11" spans="1:16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29" t="str">
        <f>LOWER(CONCATENATE("bittrex:",SUBSTITUTE(bittrex[[#This Row],[Column1.MarketName]],"-","")))</f>
        <v>bittrex:btcapx</v>
      </c>
      <c r="O11" s="26" t="str">
        <f>LOWER(CONCATENATE(SUBSTITUTE(bittrex[[#This Row],[Column1.MarketName]],"-","")))</f>
        <v>btcapx</v>
      </c>
      <c r="P11" s="37">
        <f>bittrex[[#This Row],[Column1.Last]]</f>
        <v>1.8455500000000001E-3</v>
      </c>
    </row>
    <row r="12" spans="1:16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29" t="str">
        <f>LOWER(CONCATENATE("bittrex:",SUBSTITUTE(bittrex[[#This Row],[Column1.MarketName]],"-","")))</f>
        <v>bittrex:btcardr</v>
      </c>
      <c r="O12" s="26" t="str">
        <f>LOWER(CONCATENATE(SUBSTITUTE(bittrex[[#This Row],[Column1.MarketName]],"-","")))</f>
        <v>btcardr</v>
      </c>
      <c r="P12" s="37">
        <f>bittrex[[#This Row],[Column1.Last]]</f>
        <v>3.3439999999999998E-5</v>
      </c>
    </row>
    <row r="13" spans="1:16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29" t="str">
        <f>LOWER(CONCATENATE("bittrex:",SUBSTITUTE(bittrex[[#This Row],[Column1.MarketName]],"-","")))</f>
        <v>bittrex:btcark</v>
      </c>
      <c r="O13" s="26" t="str">
        <f>LOWER(CONCATENATE(SUBSTITUTE(bittrex[[#This Row],[Column1.MarketName]],"-","")))</f>
        <v>btcark</v>
      </c>
      <c r="P13" s="37">
        <f>bittrex[[#This Row],[Column1.Last]]</f>
        <v>5.8498999999999997E-4</v>
      </c>
    </row>
    <row r="14" spans="1:16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29" t="str">
        <f>LOWER(CONCATENATE("bittrex:",SUBSTITUTE(bittrex[[#This Row],[Column1.MarketName]],"-","")))</f>
        <v>bittrex:btcaur</v>
      </c>
      <c r="O14" s="26" t="str">
        <f>LOWER(CONCATENATE(SUBSTITUTE(bittrex[[#This Row],[Column1.MarketName]],"-","")))</f>
        <v>btcaur</v>
      </c>
      <c r="P14" s="37">
        <f>bittrex[[#This Row],[Column1.Last]]</f>
        <v>1.5139999999999999E-4</v>
      </c>
    </row>
    <row r="15" spans="1:16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29" t="str">
        <f>LOWER(CONCATENATE("bittrex:",SUBSTITUTE(bittrex[[#This Row],[Column1.MarketName]],"-","")))</f>
        <v>bittrex:btcbat</v>
      </c>
      <c r="O15" s="26" t="str">
        <f>LOWER(CONCATENATE(SUBSTITUTE(bittrex[[#This Row],[Column1.MarketName]],"-","")))</f>
        <v>btcbat</v>
      </c>
      <c r="P15" s="37">
        <f>bittrex[[#This Row],[Column1.Last]]</f>
        <v>4.8059999999999997E-5</v>
      </c>
    </row>
    <row r="16" spans="1:16">
      <c r="A16"/>
      <c r="B16"/>
      <c r="C16"/>
      <c r="D16"/>
      <c r="E16"/>
      <c r="F16"/>
      <c r="G16"/>
      <c r="H16"/>
      <c r="I16"/>
      <c r="J16"/>
      <c r="K16"/>
      <c r="L16"/>
      <c r="M16"/>
      <c r="N16" s="29" t="str">
        <f>LOWER(CONCATENATE("bittrex:",SUBSTITUTE(bittrex[[#This Row],[Column1.MarketName]],"-","")))</f>
        <v>bittrex:btcbay</v>
      </c>
      <c r="O16" s="26" t="str">
        <f>LOWER(CONCATENATE(SUBSTITUTE(bittrex[[#This Row],[Column1.MarketName]],"-","")))</f>
        <v>btcbay</v>
      </c>
      <c r="P16" s="37">
        <f>bittrex[[#This Row],[Column1.Last]]</f>
        <v>5.1399999999999999E-6</v>
      </c>
    </row>
    <row r="17" spans="1:16">
      <c r="A17"/>
      <c r="B17"/>
      <c r="C17"/>
      <c r="D17"/>
      <c r="E17"/>
      <c r="F17"/>
      <c r="G17"/>
      <c r="H17"/>
      <c r="I17"/>
      <c r="J17"/>
      <c r="K17"/>
      <c r="L17"/>
      <c r="M17"/>
      <c r="N17" s="29" t="str">
        <f>LOWER(CONCATENATE("bittrex:",SUBSTITUTE(bittrex[[#This Row],[Column1.MarketName]],"-","")))</f>
        <v>bittrex:btcbcc</v>
      </c>
      <c r="O17" s="26" t="str">
        <f>LOWER(CONCATENATE(SUBSTITUTE(bittrex[[#This Row],[Column1.MarketName]],"-","")))</f>
        <v>btcbcc</v>
      </c>
      <c r="P17" s="37">
        <f>bittrex[[#This Row],[Column1.Last]]</f>
        <v>0.15289999000000001</v>
      </c>
    </row>
    <row r="18" spans="1:16">
      <c r="A18"/>
      <c r="B18"/>
      <c r="C18"/>
      <c r="D18"/>
      <c r="E18"/>
      <c r="F18"/>
      <c r="G18"/>
      <c r="H18"/>
      <c r="I18"/>
      <c r="J18"/>
      <c r="K18"/>
      <c r="L18"/>
      <c r="M18"/>
      <c r="N18" s="29" t="str">
        <f>LOWER(CONCATENATE("bittrex:",SUBSTITUTE(bittrex[[#This Row],[Column1.MarketName]],"-","")))</f>
        <v>bittrex:btcbcy</v>
      </c>
      <c r="O18" s="26" t="str">
        <f>LOWER(CONCATENATE(SUBSTITUTE(bittrex[[#This Row],[Column1.MarketName]],"-","")))</f>
        <v>btcbcy</v>
      </c>
      <c r="P18" s="37">
        <f>bittrex[[#This Row],[Column1.Last]]</f>
        <v>9.2250000000000006E-5</v>
      </c>
    </row>
    <row r="19" spans="1:16">
      <c r="A19"/>
      <c r="B19"/>
      <c r="C19"/>
      <c r="D19"/>
      <c r="E19"/>
      <c r="F19"/>
      <c r="G19"/>
      <c r="H19"/>
      <c r="I19"/>
      <c r="J19"/>
      <c r="K19"/>
      <c r="L19"/>
      <c r="M19"/>
      <c r="N19" s="29" t="str">
        <f>LOWER(CONCATENATE("bittrex:",SUBSTITUTE(bittrex[[#This Row],[Column1.MarketName]],"-","")))</f>
        <v>bittrex:btcbitb</v>
      </c>
      <c r="O19" s="26" t="str">
        <f>LOWER(CONCATENATE(SUBSTITUTE(bittrex[[#This Row],[Column1.MarketName]],"-","")))</f>
        <v>btcbitb</v>
      </c>
      <c r="P19" s="37">
        <f>bittrex[[#This Row],[Column1.Last]]</f>
        <v>6.9999999999999997E-7</v>
      </c>
    </row>
    <row r="20" spans="1:16">
      <c r="A20"/>
      <c r="B20"/>
      <c r="C20"/>
      <c r="D20"/>
      <c r="E20"/>
      <c r="F20"/>
      <c r="G20"/>
      <c r="H20"/>
      <c r="I20"/>
      <c r="J20"/>
      <c r="K20"/>
      <c r="L20"/>
      <c r="M20"/>
      <c r="N20" s="29" t="str">
        <f>LOWER(CONCATENATE("bittrex:",SUBSTITUTE(bittrex[[#This Row],[Column1.MarketName]],"-","")))</f>
        <v>bittrex:btcblitz</v>
      </c>
      <c r="O20" s="26" t="str">
        <f>LOWER(CONCATENATE(SUBSTITUTE(bittrex[[#This Row],[Column1.MarketName]],"-","")))</f>
        <v>btcblitz</v>
      </c>
      <c r="P20" s="37">
        <f>bittrex[[#This Row],[Column1.Last]]</f>
        <v>4.0001000000000001E-4</v>
      </c>
    </row>
    <row r="21" spans="1:16">
      <c r="A21"/>
      <c r="B21"/>
      <c r="C21"/>
      <c r="D21"/>
      <c r="E21"/>
      <c r="F21"/>
      <c r="G21"/>
      <c r="H21"/>
      <c r="I21"/>
      <c r="J21"/>
      <c r="K21"/>
      <c r="L21"/>
      <c r="M21"/>
      <c r="N21" s="29" t="str">
        <f>LOWER(CONCATENATE("bittrex:",SUBSTITUTE(bittrex[[#This Row],[Column1.MarketName]],"-","")))</f>
        <v>bittrex:btcblk</v>
      </c>
      <c r="O21" s="26" t="str">
        <f>LOWER(CONCATENATE(SUBSTITUTE(bittrex[[#This Row],[Column1.MarketName]],"-","")))</f>
        <v>btcblk</v>
      </c>
      <c r="P21" s="37">
        <f>bittrex[[#This Row],[Column1.Last]]</f>
        <v>5.719E-5</v>
      </c>
    </row>
    <row r="22" spans="1:16">
      <c r="A22"/>
      <c r="B22"/>
      <c r="C22"/>
      <c r="D22"/>
      <c r="E22"/>
      <c r="F22"/>
      <c r="G22"/>
      <c r="H22"/>
      <c r="I22"/>
      <c r="J22"/>
      <c r="K22"/>
      <c r="L22"/>
      <c r="M22"/>
      <c r="N22" s="29" t="str">
        <f>LOWER(CONCATENATE("bittrex:",SUBSTITUTE(bittrex[[#This Row],[Column1.MarketName]],"-","")))</f>
        <v>bittrex:btcblock</v>
      </c>
      <c r="O22" s="26" t="str">
        <f>LOWER(CONCATENATE(SUBSTITUTE(bittrex[[#This Row],[Column1.MarketName]],"-","")))</f>
        <v>btcblock</v>
      </c>
      <c r="P22" s="37">
        <f>bittrex[[#This Row],[Column1.Last]]</f>
        <v>5.70033E-3</v>
      </c>
    </row>
    <row r="23" spans="1:16">
      <c r="A23"/>
      <c r="B23"/>
      <c r="C23"/>
      <c r="D23"/>
      <c r="E23"/>
      <c r="F23"/>
      <c r="G23"/>
      <c r="H23"/>
      <c r="I23"/>
      <c r="J23"/>
      <c r="K23"/>
      <c r="L23"/>
      <c r="M23"/>
      <c r="N23" s="29" t="str">
        <f>LOWER(CONCATENATE("bittrex:",SUBSTITUTE(bittrex[[#This Row],[Column1.MarketName]],"-","")))</f>
        <v>bittrex:btcbnt</v>
      </c>
      <c r="O23" s="26" t="str">
        <f>LOWER(CONCATENATE(SUBSTITUTE(bittrex[[#This Row],[Column1.MarketName]],"-","")))</f>
        <v>btcbnt</v>
      </c>
      <c r="P23" s="37">
        <f>bittrex[[#This Row],[Column1.Last]]</f>
        <v>5.71E-4</v>
      </c>
    </row>
    <row r="24" spans="1:16">
      <c r="A24"/>
      <c r="B24"/>
      <c r="C24"/>
      <c r="D24"/>
      <c r="E24"/>
      <c r="F24"/>
      <c r="G24"/>
      <c r="H24"/>
      <c r="I24"/>
      <c r="J24"/>
      <c r="K24"/>
      <c r="L24"/>
      <c r="M24"/>
      <c r="N24" s="29" t="str">
        <f>LOWER(CONCATENATE("bittrex:",SUBSTITUTE(bittrex[[#This Row],[Column1.MarketName]],"-","")))</f>
        <v>bittrex:btcbrk</v>
      </c>
      <c r="O24" s="26" t="str">
        <f>LOWER(CONCATENATE(SUBSTITUTE(bittrex[[#This Row],[Column1.MarketName]],"-","")))</f>
        <v>btcbrk</v>
      </c>
      <c r="P24" s="37">
        <f>bittrex[[#This Row],[Column1.Last]]</f>
        <v>3.79E-5</v>
      </c>
    </row>
    <row r="25" spans="1:16">
      <c r="A25"/>
      <c r="B25"/>
      <c r="C25"/>
      <c r="D25"/>
      <c r="E25"/>
      <c r="F25"/>
      <c r="G25"/>
      <c r="H25"/>
      <c r="I25"/>
      <c r="J25"/>
      <c r="K25"/>
      <c r="L25"/>
      <c r="M25"/>
      <c r="N25" s="29" t="str">
        <f>LOWER(CONCATENATE("bittrex:",SUBSTITUTE(bittrex[[#This Row],[Column1.MarketName]],"-","")))</f>
        <v>bittrex:btcbrx</v>
      </c>
      <c r="O25" s="26" t="str">
        <f>LOWER(CONCATENATE(SUBSTITUTE(bittrex[[#This Row],[Column1.MarketName]],"-","")))</f>
        <v>btcbrx</v>
      </c>
      <c r="P25" s="37">
        <f>bittrex[[#This Row],[Column1.Last]]</f>
        <v>1.4440000000000001E-4</v>
      </c>
    </row>
    <row r="26" spans="1:16">
      <c r="A26"/>
      <c r="B26"/>
      <c r="C26"/>
      <c r="D26"/>
      <c r="E26"/>
      <c r="F26"/>
      <c r="G26"/>
      <c r="H26"/>
      <c r="I26"/>
      <c r="J26"/>
      <c r="K26"/>
      <c r="L26"/>
      <c r="M26"/>
      <c r="N26" s="29" t="str">
        <f>LOWER(CONCATENATE("bittrex:",SUBSTITUTE(bittrex[[#This Row],[Column1.MarketName]],"-","")))</f>
        <v>bittrex:btcbsd</v>
      </c>
      <c r="O26" s="26" t="str">
        <f>LOWER(CONCATENATE(SUBSTITUTE(bittrex[[#This Row],[Column1.MarketName]],"-","")))</f>
        <v>btcbsd</v>
      </c>
      <c r="P26" s="37">
        <f>bittrex[[#This Row],[Column1.Last]]</f>
        <v>8.5539999999999998E-5</v>
      </c>
    </row>
    <row r="27" spans="1:16">
      <c r="A27"/>
      <c r="B27"/>
      <c r="C27"/>
      <c r="D27"/>
      <c r="E27"/>
      <c r="F27"/>
      <c r="G27"/>
      <c r="H27"/>
      <c r="I27"/>
      <c r="J27"/>
      <c r="K27"/>
      <c r="L27"/>
      <c r="M27"/>
      <c r="N27" s="29" t="str">
        <f>LOWER(CONCATENATE("bittrex:",SUBSTITUTE(bittrex[[#This Row],[Column1.MarketName]],"-","")))</f>
        <v>bittrex:btcbta</v>
      </c>
      <c r="O27" s="26" t="str">
        <f>LOWER(CONCATENATE(SUBSTITUTE(bittrex[[#This Row],[Column1.MarketName]],"-","")))</f>
        <v>btcbta</v>
      </c>
      <c r="P27" s="37">
        <f>bittrex[[#This Row],[Column1.Last]]</f>
        <v>1.2329999999999999E-4</v>
      </c>
    </row>
    <row r="28" spans="1:16">
      <c r="A28"/>
      <c r="B28"/>
      <c r="C28"/>
      <c r="D28"/>
      <c r="E28"/>
      <c r="F28"/>
      <c r="G28"/>
      <c r="H28"/>
      <c r="I28"/>
      <c r="J28"/>
      <c r="K28"/>
      <c r="L28"/>
      <c r="M28"/>
      <c r="N28" s="29" t="str">
        <f>LOWER(CONCATENATE("bittrex:",SUBSTITUTE(bittrex[[#This Row],[Column1.MarketName]],"-","")))</f>
        <v>bittrex:btcbtcd</v>
      </c>
      <c r="O28" s="26" t="str">
        <f>LOWER(CONCATENATE(SUBSTITUTE(bittrex[[#This Row],[Column1.MarketName]],"-","")))</f>
        <v>btcbtcd</v>
      </c>
      <c r="P28" s="37">
        <f>bittrex[[#This Row],[Column1.Last]]</f>
        <v>3.0562969999999998E-2</v>
      </c>
    </row>
    <row r="29" spans="1:16">
      <c r="A29"/>
      <c r="B29"/>
      <c r="C29"/>
      <c r="D29"/>
      <c r="E29"/>
      <c r="F29"/>
      <c r="G29"/>
      <c r="H29"/>
      <c r="I29"/>
      <c r="J29"/>
      <c r="K29"/>
      <c r="L29"/>
      <c r="M29"/>
      <c r="N29" s="29" t="str">
        <f>LOWER(CONCATENATE("bittrex:",SUBSTITUTE(bittrex[[#This Row],[Column1.MarketName]],"-","")))</f>
        <v>bittrex:btcbts</v>
      </c>
      <c r="O29" s="26" t="str">
        <f>LOWER(CONCATENATE(SUBSTITUTE(bittrex[[#This Row],[Column1.MarketName]],"-","")))</f>
        <v>btcbts</v>
      </c>
      <c r="P29" s="37">
        <f>bittrex[[#This Row],[Column1.Last]]</f>
        <v>3.3090000000000003E-5</v>
      </c>
    </row>
    <row r="30" spans="1:16">
      <c r="A30"/>
      <c r="B30"/>
      <c r="C30"/>
      <c r="D30"/>
      <c r="E30"/>
      <c r="F30"/>
      <c r="G30"/>
      <c r="H30"/>
      <c r="I30"/>
      <c r="J30"/>
      <c r="K30"/>
      <c r="L30"/>
      <c r="M30"/>
      <c r="N30" s="29" t="str">
        <f>LOWER(CONCATENATE("bittrex:",SUBSTITUTE(bittrex[[#This Row],[Column1.MarketName]],"-","")))</f>
        <v>bittrex:btcburst</v>
      </c>
      <c r="O30" s="26" t="str">
        <f>LOWER(CONCATENATE(SUBSTITUTE(bittrex[[#This Row],[Column1.MarketName]],"-","")))</f>
        <v>btcburst</v>
      </c>
      <c r="P30" s="37">
        <f>bittrex[[#This Row],[Column1.Last]]</f>
        <v>2.7199999999999998E-6</v>
      </c>
    </row>
    <row r="31" spans="1:16">
      <c r="A31"/>
      <c r="B31"/>
      <c r="C31"/>
      <c r="D31"/>
      <c r="E31"/>
      <c r="F31"/>
      <c r="G31"/>
      <c r="H31"/>
      <c r="I31"/>
      <c r="J31"/>
      <c r="K31"/>
      <c r="L31"/>
      <c r="M31"/>
      <c r="N31" s="29" t="str">
        <f>LOWER(CONCATENATE("bittrex:",SUBSTITUTE(bittrex[[#This Row],[Column1.MarketName]],"-","")))</f>
        <v>bittrex:btcbyc</v>
      </c>
      <c r="O31" s="26" t="str">
        <f>LOWER(CONCATENATE(SUBSTITUTE(bittrex[[#This Row],[Column1.MarketName]],"-","")))</f>
        <v>btcbyc</v>
      </c>
      <c r="P31" s="37">
        <f>bittrex[[#This Row],[Column1.Last]]</f>
        <v>1.4279000000000001E-4</v>
      </c>
    </row>
    <row r="32" spans="1:16">
      <c r="A32"/>
      <c r="B32"/>
      <c r="C32"/>
      <c r="D32"/>
      <c r="E32"/>
      <c r="F32"/>
      <c r="G32"/>
      <c r="H32"/>
      <c r="I32"/>
      <c r="J32"/>
      <c r="K32"/>
      <c r="L32"/>
      <c r="M32"/>
      <c r="N32" s="29" t="str">
        <f>LOWER(CONCATENATE("bittrex:",SUBSTITUTE(bittrex[[#This Row],[Column1.MarketName]],"-","")))</f>
        <v>bittrex:btccann</v>
      </c>
      <c r="O32" s="26" t="str">
        <f>LOWER(CONCATENATE(SUBSTITUTE(bittrex[[#This Row],[Column1.MarketName]],"-","")))</f>
        <v>btccann</v>
      </c>
      <c r="P32" s="37">
        <f>bittrex[[#This Row],[Column1.Last]]</f>
        <v>6.2899999999999999E-6</v>
      </c>
    </row>
    <row r="33" spans="1:16">
      <c r="A33"/>
      <c r="B33"/>
      <c r="C33"/>
      <c r="D33"/>
      <c r="E33"/>
      <c r="F33"/>
      <c r="G33"/>
      <c r="H33"/>
      <c r="I33"/>
      <c r="J33"/>
      <c r="K33"/>
      <c r="L33"/>
      <c r="M33"/>
      <c r="N33" s="29" t="str">
        <f>LOWER(CONCATENATE("bittrex:",SUBSTITUTE(bittrex[[#This Row],[Column1.MarketName]],"-","")))</f>
        <v>bittrex:btccfi</v>
      </c>
      <c r="O33" s="26" t="str">
        <f>LOWER(CONCATENATE(SUBSTITUTE(bittrex[[#This Row],[Column1.MarketName]],"-","")))</f>
        <v>btccfi</v>
      </c>
      <c r="P33" s="37">
        <f>bittrex[[#This Row],[Column1.Last]]</f>
        <v>3.6000000000000001E-5</v>
      </c>
    </row>
    <row r="34" spans="1:16">
      <c r="A34"/>
      <c r="B34"/>
      <c r="C34"/>
      <c r="D34"/>
      <c r="E34"/>
      <c r="F34"/>
      <c r="G34"/>
      <c r="H34"/>
      <c r="I34"/>
      <c r="J34"/>
      <c r="K34"/>
      <c r="L34"/>
      <c r="M34"/>
      <c r="N34" s="29" t="str">
        <f>LOWER(CONCATENATE("bittrex:",SUBSTITUTE(bittrex[[#This Row],[Column1.MarketName]],"-","")))</f>
        <v>bittrex:btcclam</v>
      </c>
      <c r="O34" s="26" t="str">
        <f>LOWER(CONCATENATE(SUBSTITUTE(bittrex[[#This Row],[Column1.MarketName]],"-","")))</f>
        <v>btcclam</v>
      </c>
      <c r="P34" s="37">
        <f>bittrex[[#This Row],[Column1.Last]]</f>
        <v>1.6615600000000001E-3</v>
      </c>
    </row>
    <row r="35" spans="1:16">
      <c r="A35"/>
      <c r="B35"/>
      <c r="C35"/>
      <c r="D35"/>
      <c r="E35"/>
      <c r="F35"/>
      <c r="G35"/>
      <c r="H35"/>
      <c r="I35"/>
      <c r="J35"/>
      <c r="K35"/>
      <c r="L35"/>
      <c r="M35"/>
      <c r="N35" s="29" t="str">
        <f>LOWER(CONCATENATE("bittrex:",SUBSTITUTE(bittrex[[#This Row],[Column1.MarketName]],"-","")))</f>
        <v>bittrex:btccloak</v>
      </c>
      <c r="O35" s="26" t="str">
        <f>LOWER(CONCATENATE(SUBSTITUTE(bittrex[[#This Row],[Column1.MarketName]],"-","")))</f>
        <v>btccloak</v>
      </c>
      <c r="P35" s="37">
        <f>bittrex[[#This Row],[Column1.Last]]</f>
        <v>1.25971E-3</v>
      </c>
    </row>
    <row r="36" spans="1:16">
      <c r="A36"/>
      <c r="B36"/>
      <c r="C36"/>
      <c r="D36"/>
      <c r="E36"/>
      <c r="F36"/>
      <c r="G36"/>
      <c r="H36"/>
      <c r="I36"/>
      <c r="J36"/>
      <c r="K36"/>
      <c r="L36"/>
      <c r="M36"/>
      <c r="N36" s="29" t="str">
        <f>LOWER(CONCATENATE("bittrex:",SUBSTITUTE(bittrex[[#This Row],[Column1.MarketName]],"-","")))</f>
        <v>bittrex:btcclub</v>
      </c>
      <c r="O36" s="26" t="str">
        <f>LOWER(CONCATENATE(SUBSTITUTE(bittrex[[#This Row],[Column1.MarketName]],"-","")))</f>
        <v>btcclub</v>
      </c>
      <c r="P36" s="37">
        <f>bittrex[[#This Row],[Column1.Last]]</f>
        <v>8.7299999999999994E-5</v>
      </c>
    </row>
    <row r="37" spans="1:16">
      <c r="A37"/>
      <c r="B37"/>
      <c r="C37"/>
      <c r="D37"/>
      <c r="E37"/>
      <c r="F37"/>
      <c r="G37"/>
      <c r="H37"/>
      <c r="I37"/>
      <c r="J37"/>
      <c r="K37"/>
      <c r="L37"/>
      <c r="M37"/>
      <c r="N37" s="29" t="str">
        <f>LOWER(CONCATENATE("bittrex:",SUBSTITUTE(bittrex[[#This Row],[Column1.MarketName]],"-","")))</f>
        <v>bittrex:btccoval</v>
      </c>
      <c r="O37" s="26" t="str">
        <f>LOWER(CONCATENATE(SUBSTITUTE(bittrex[[#This Row],[Column1.MarketName]],"-","")))</f>
        <v>btccoval</v>
      </c>
      <c r="P37" s="37">
        <f>bittrex[[#This Row],[Column1.Last]]</f>
        <v>1.3200000000000001E-6</v>
      </c>
    </row>
    <row r="38" spans="1:16">
      <c r="A38"/>
      <c r="B38"/>
      <c r="C38"/>
      <c r="D38"/>
      <c r="E38"/>
      <c r="F38"/>
      <c r="G38"/>
      <c r="H38"/>
      <c r="I38"/>
      <c r="J38"/>
      <c r="K38"/>
      <c r="L38"/>
      <c r="M38"/>
      <c r="N38" s="29" t="str">
        <f>LOWER(CONCATENATE("bittrex:",SUBSTITUTE(bittrex[[#This Row],[Column1.MarketName]],"-","")))</f>
        <v>bittrex:btccpc</v>
      </c>
      <c r="O38" s="26" t="str">
        <f>LOWER(CONCATENATE(SUBSTITUTE(bittrex[[#This Row],[Column1.MarketName]],"-","")))</f>
        <v>btccpc</v>
      </c>
      <c r="P38" s="37">
        <f>bittrex[[#This Row],[Column1.Last]]</f>
        <v>1.4097E-4</v>
      </c>
    </row>
    <row r="39" spans="1:16">
      <c r="A39"/>
      <c r="B39"/>
      <c r="C39"/>
      <c r="D39"/>
      <c r="E39"/>
      <c r="F39"/>
      <c r="G39"/>
      <c r="H39"/>
      <c r="I39"/>
      <c r="J39"/>
      <c r="K39"/>
      <c r="L39"/>
      <c r="M39"/>
      <c r="N39" s="29" t="str">
        <f>LOWER(CONCATENATE("bittrex:",SUBSTITUTE(bittrex[[#This Row],[Column1.MarketName]],"-","")))</f>
        <v>bittrex:btccrb</v>
      </c>
      <c r="O39" s="26" t="str">
        <f>LOWER(CONCATENATE(SUBSTITUTE(bittrex[[#This Row],[Column1.MarketName]],"-","")))</f>
        <v>btccrb</v>
      </c>
      <c r="P39" s="37">
        <f>bittrex[[#This Row],[Column1.Last]]</f>
        <v>1.6532E-4</v>
      </c>
    </row>
    <row r="40" spans="1:16">
      <c r="A40"/>
      <c r="B40"/>
      <c r="C40"/>
      <c r="D40"/>
      <c r="E40"/>
      <c r="F40"/>
      <c r="G40"/>
      <c r="H40"/>
      <c r="I40"/>
      <c r="J40"/>
      <c r="K40"/>
      <c r="L40"/>
      <c r="M40"/>
      <c r="N40" s="29" t="str">
        <f>LOWER(CONCATENATE("bittrex:",SUBSTITUTE(bittrex[[#This Row],[Column1.MarketName]],"-","")))</f>
        <v>bittrex:btccrw</v>
      </c>
      <c r="O40" s="26" t="str">
        <f>LOWER(CONCATENATE(SUBSTITUTE(bittrex[[#This Row],[Column1.MarketName]],"-","")))</f>
        <v>btccrw</v>
      </c>
      <c r="P40" s="37">
        <f>bittrex[[#This Row],[Column1.Last]]</f>
        <v>3.2283000000000002E-4</v>
      </c>
    </row>
    <row r="41" spans="1:16">
      <c r="A41"/>
      <c r="B41"/>
      <c r="C41"/>
      <c r="D41"/>
      <c r="E41"/>
      <c r="F41"/>
      <c r="G41"/>
      <c r="H41"/>
      <c r="I41"/>
      <c r="J41"/>
      <c r="K41"/>
      <c r="L41"/>
      <c r="M41"/>
      <c r="N41" s="29" t="str">
        <f>LOWER(CONCATENATE("bittrex:",SUBSTITUTE(bittrex[[#This Row],[Column1.MarketName]],"-","")))</f>
        <v>bittrex:btccure</v>
      </c>
      <c r="O41" s="26" t="str">
        <f>LOWER(CONCATENATE(SUBSTITUTE(bittrex[[#This Row],[Column1.MarketName]],"-","")))</f>
        <v>btccure</v>
      </c>
      <c r="P41" s="37">
        <f>bittrex[[#This Row],[Column1.Last]]</f>
        <v>5.7030000000000001E-5</v>
      </c>
    </row>
    <row r="42" spans="1:16">
      <c r="A42"/>
      <c r="B42"/>
      <c r="C42"/>
      <c r="D42"/>
      <c r="E42"/>
      <c r="F42"/>
      <c r="G42"/>
      <c r="H42"/>
      <c r="I42"/>
      <c r="J42"/>
      <c r="K42"/>
      <c r="L42"/>
      <c r="M42"/>
      <c r="N42" s="29" t="str">
        <f>LOWER(CONCATENATE("bittrex:",SUBSTITUTE(bittrex[[#This Row],[Column1.MarketName]],"-","")))</f>
        <v>bittrex:btccvc</v>
      </c>
      <c r="O42" s="26" t="str">
        <f>LOWER(CONCATENATE(SUBSTITUTE(bittrex[[#This Row],[Column1.MarketName]],"-","")))</f>
        <v>btccvc</v>
      </c>
      <c r="P42" s="37">
        <f>bittrex[[#This Row],[Column1.Last]]</f>
        <v>9.3399999999999993E-5</v>
      </c>
    </row>
    <row r="43" spans="1:16">
      <c r="A43"/>
      <c r="B43"/>
      <c r="C43"/>
      <c r="D43"/>
      <c r="E43"/>
      <c r="F43"/>
      <c r="G43"/>
      <c r="H43"/>
      <c r="I43"/>
      <c r="J43"/>
      <c r="K43"/>
      <c r="L43"/>
      <c r="M43"/>
      <c r="N43" s="29" t="str">
        <f>LOWER(CONCATENATE("bittrex:",SUBSTITUTE(bittrex[[#This Row],[Column1.MarketName]],"-","")))</f>
        <v>bittrex:btcdar</v>
      </c>
      <c r="O43" s="26" t="str">
        <f>LOWER(CONCATENATE(SUBSTITUTE(bittrex[[#This Row],[Column1.MarketName]],"-","")))</f>
        <v>btcdar</v>
      </c>
      <c r="P43" s="37">
        <f>bittrex[[#This Row],[Column1.Last]]</f>
        <v>7.6019999999999994E-5</v>
      </c>
    </row>
    <row r="44" spans="1:16">
      <c r="A44"/>
      <c r="B44"/>
      <c r="C44"/>
      <c r="D44"/>
      <c r="E44"/>
      <c r="F44"/>
      <c r="G44"/>
      <c r="H44"/>
      <c r="I44"/>
      <c r="J44"/>
      <c r="K44"/>
      <c r="L44"/>
      <c r="M44"/>
      <c r="N44" s="29" t="str">
        <f>LOWER(CONCATENATE("bittrex:",SUBSTITUTE(bittrex[[#This Row],[Column1.MarketName]],"-","")))</f>
        <v>bittrex:btcdash</v>
      </c>
      <c r="O44" s="26" t="str">
        <f>LOWER(CONCATENATE(SUBSTITUTE(bittrex[[#This Row],[Column1.MarketName]],"-","")))</f>
        <v>btcdash</v>
      </c>
      <c r="P44" s="37">
        <f>bittrex[[#This Row],[Column1.Last]]</f>
        <v>7.4513689999999994E-2</v>
      </c>
    </row>
    <row r="45" spans="1:16">
      <c r="A45"/>
      <c r="B45"/>
      <c r="C45"/>
      <c r="D45"/>
      <c r="E45"/>
      <c r="F45"/>
      <c r="G45"/>
      <c r="H45"/>
      <c r="I45"/>
      <c r="J45"/>
      <c r="K45"/>
      <c r="L45"/>
      <c r="M45"/>
      <c r="N45" s="29" t="str">
        <f>LOWER(CONCATENATE("bittrex:",SUBSTITUTE(bittrex[[#This Row],[Column1.MarketName]],"-","")))</f>
        <v>bittrex:btcdcr</v>
      </c>
      <c r="O45" s="26" t="str">
        <f>LOWER(CONCATENATE(SUBSTITUTE(bittrex[[#This Row],[Column1.MarketName]],"-","")))</f>
        <v>btcdcr</v>
      </c>
      <c r="P45" s="37">
        <f>bittrex[[#This Row],[Column1.Last]]</f>
        <v>7.4999999999999997E-3</v>
      </c>
    </row>
    <row r="46" spans="1:16">
      <c r="A46"/>
      <c r="B46"/>
      <c r="C46"/>
      <c r="D46"/>
      <c r="E46"/>
      <c r="F46"/>
      <c r="G46"/>
      <c r="H46"/>
      <c r="I46"/>
      <c r="J46"/>
      <c r="K46"/>
      <c r="L46"/>
      <c r="M46"/>
      <c r="N46" s="29" t="str">
        <f>LOWER(CONCATENATE("bittrex:",SUBSTITUTE(bittrex[[#This Row],[Column1.MarketName]],"-","")))</f>
        <v>bittrex:btcdct</v>
      </c>
      <c r="O46" s="26" t="str">
        <f>LOWER(CONCATENATE(SUBSTITUTE(bittrex[[#This Row],[Column1.MarketName]],"-","")))</f>
        <v>btcdct</v>
      </c>
      <c r="P46" s="37">
        <f>bittrex[[#This Row],[Column1.Last]]</f>
        <v>1.9002999999999999E-4</v>
      </c>
    </row>
    <row r="47" spans="1:16">
      <c r="A47"/>
      <c r="B47"/>
      <c r="C47"/>
      <c r="D47"/>
      <c r="E47"/>
      <c r="F47"/>
      <c r="G47"/>
      <c r="H47"/>
      <c r="I47"/>
      <c r="J47"/>
      <c r="K47"/>
      <c r="L47"/>
      <c r="M47"/>
      <c r="N47" s="29" t="str">
        <f>LOWER(CONCATENATE("bittrex:",SUBSTITUTE(bittrex[[#This Row],[Column1.MarketName]],"-","")))</f>
        <v>bittrex:btcdgb</v>
      </c>
      <c r="O47" s="26" t="str">
        <f>LOWER(CONCATENATE(SUBSTITUTE(bittrex[[#This Row],[Column1.MarketName]],"-","")))</f>
        <v>btcdgb</v>
      </c>
      <c r="P47" s="37">
        <f>bittrex[[#This Row],[Column1.Last]]</f>
        <v>3.9999999999999998E-6</v>
      </c>
    </row>
    <row r="48" spans="1:16">
      <c r="A48"/>
      <c r="B48"/>
      <c r="C48"/>
      <c r="D48"/>
      <c r="E48"/>
      <c r="F48"/>
      <c r="G48"/>
      <c r="H48"/>
      <c r="I48"/>
      <c r="J48"/>
      <c r="K48"/>
      <c r="L48"/>
      <c r="M48"/>
      <c r="N48" s="29" t="str">
        <f>LOWER(CONCATENATE("bittrex:",SUBSTITUTE(bittrex[[#This Row],[Column1.MarketName]],"-","")))</f>
        <v>bittrex:btcdgd</v>
      </c>
      <c r="O48" s="26" t="str">
        <f>LOWER(CONCATENATE(SUBSTITUTE(bittrex[[#This Row],[Column1.MarketName]],"-","")))</f>
        <v>btcdgd</v>
      </c>
      <c r="P48" s="37">
        <f>bittrex[[#This Row],[Column1.Last]]</f>
        <v>1.9379799999999999E-2</v>
      </c>
    </row>
    <row r="49" spans="1:16">
      <c r="A49"/>
      <c r="B49"/>
      <c r="C49"/>
      <c r="D49"/>
      <c r="E49"/>
      <c r="F49"/>
      <c r="G49"/>
      <c r="H49"/>
      <c r="I49"/>
      <c r="J49"/>
      <c r="K49"/>
      <c r="L49"/>
      <c r="M49"/>
      <c r="N49" s="29" t="str">
        <f>LOWER(CONCATENATE("bittrex:",SUBSTITUTE(bittrex[[#This Row],[Column1.MarketName]],"-","")))</f>
        <v>bittrex:btcdmd</v>
      </c>
      <c r="O49" s="26" t="str">
        <f>LOWER(CONCATENATE(SUBSTITUTE(bittrex[[#This Row],[Column1.MarketName]],"-","")))</f>
        <v>btcdmd</v>
      </c>
      <c r="P49" s="37">
        <f>bittrex[[#This Row],[Column1.Last]]</f>
        <v>1.3744199999999999E-3</v>
      </c>
    </row>
    <row r="50" spans="1:16">
      <c r="A50"/>
      <c r="B50"/>
      <c r="C50"/>
      <c r="D50"/>
      <c r="E50"/>
      <c r="F50"/>
      <c r="G50"/>
      <c r="H50"/>
      <c r="I50"/>
      <c r="J50"/>
      <c r="K50"/>
      <c r="L50"/>
      <c r="M50"/>
      <c r="N50" s="29" t="str">
        <f>LOWER(CONCATENATE("bittrex:",SUBSTITUTE(bittrex[[#This Row],[Column1.MarketName]],"-","")))</f>
        <v>bittrex:btcdoge</v>
      </c>
      <c r="O50" s="26" t="str">
        <f>LOWER(CONCATENATE(SUBSTITUTE(bittrex[[#This Row],[Column1.MarketName]],"-","")))</f>
        <v>btcdoge</v>
      </c>
      <c r="P50" s="37">
        <f>bittrex[[#This Row],[Column1.Last]]</f>
        <v>4.3000000000000001E-7</v>
      </c>
    </row>
    <row r="51" spans="1:16">
      <c r="A51"/>
      <c r="B51"/>
      <c r="C51"/>
      <c r="D51"/>
      <c r="E51"/>
      <c r="F51"/>
      <c r="G51"/>
      <c r="H51"/>
      <c r="I51"/>
      <c r="J51"/>
      <c r="K51"/>
      <c r="L51"/>
      <c r="M51"/>
      <c r="N51" s="29" t="str">
        <f>LOWER(CONCATENATE("bittrex:",SUBSTITUTE(bittrex[[#This Row],[Column1.MarketName]],"-","")))</f>
        <v>bittrex:btcdope</v>
      </c>
      <c r="O51" s="26" t="str">
        <f>LOWER(CONCATENATE(SUBSTITUTE(bittrex[[#This Row],[Column1.MarketName]],"-","")))</f>
        <v>btcdope</v>
      </c>
      <c r="P51" s="37">
        <f>bittrex[[#This Row],[Column1.Last]]</f>
        <v>6.0000000000000002E-6</v>
      </c>
    </row>
    <row r="52" spans="1:16">
      <c r="A52"/>
      <c r="B52"/>
      <c r="C52"/>
      <c r="D52"/>
      <c r="E52"/>
      <c r="F52"/>
      <c r="G52"/>
      <c r="H52"/>
      <c r="I52"/>
      <c r="J52"/>
      <c r="K52"/>
      <c r="L52"/>
      <c r="M52"/>
      <c r="N52" s="29" t="str">
        <f>LOWER(CONCATENATE("bittrex:",SUBSTITUTE(bittrex[[#This Row],[Column1.MarketName]],"-","")))</f>
        <v>bittrex:btcdraco</v>
      </c>
      <c r="O52" s="26" t="str">
        <f>LOWER(CONCATENATE(SUBSTITUTE(bittrex[[#This Row],[Column1.MarketName]],"-","")))</f>
        <v>btcdraco</v>
      </c>
      <c r="P52" s="37">
        <f>bittrex[[#This Row],[Column1.Last]]</f>
        <v>3.0299999999999998E-6</v>
      </c>
    </row>
    <row r="53" spans="1:16">
      <c r="A53"/>
      <c r="B53"/>
      <c r="C53"/>
      <c r="D53"/>
      <c r="E53"/>
      <c r="F53"/>
      <c r="G53"/>
      <c r="H53"/>
      <c r="I53"/>
      <c r="J53"/>
      <c r="K53"/>
      <c r="L53"/>
      <c r="M53"/>
      <c r="N53" s="29" t="str">
        <f>LOWER(CONCATENATE("bittrex:",SUBSTITUTE(bittrex[[#This Row],[Column1.MarketName]],"-","")))</f>
        <v>bittrex:btcdtb</v>
      </c>
      <c r="O53" s="26" t="str">
        <f>LOWER(CONCATENATE(SUBSTITUTE(bittrex[[#This Row],[Column1.MarketName]],"-","")))</f>
        <v>btcdtb</v>
      </c>
      <c r="P53" s="37">
        <f>bittrex[[#This Row],[Column1.Last]]</f>
        <v>1.3901000000000001E-4</v>
      </c>
    </row>
    <row r="54" spans="1:16">
      <c r="A54"/>
      <c r="B54"/>
      <c r="C54"/>
      <c r="D54"/>
      <c r="E54"/>
      <c r="F54"/>
      <c r="G54"/>
      <c r="H54"/>
      <c r="I54"/>
      <c r="J54"/>
      <c r="K54"/>
      <c r="L54"/>
      <c r="M54"/>
      <c r="N54" s="29" t="str">
        <f>LOWER(CONCATENATE("bittrex:",SUBSTITUTE(bittrex[[#This Row],[Column1.MarketName]],"-","")))</f>
        <v>bittrex:btcdyn</v>
      </c>
      <c r="O54" s="26" t="str">
        <f>LOWER(CONCATENATE(SUBSTITUTE(bittrex[[#This Row],[Column1.MarketName]],"-","")))</f>
        <v>btcdyn</v>
      </c>
      <c r="P54" s="37">
        <f>bittrex[[#This Row],[Column1.Last]]</f>
        <v>5.1721999999999998E-4</v>
      </c>
    </row>
    <row r="55" spans="1:16">
      <c r="A55"/>
      <c r="B55"/>
      <c r="C55"/>
      <c r="D55"/>
      <c r="E55"/>
      <c r="F55"/>
      <c r="G55"/>
      <c r="H55"/>
      <c r="I55"/>
      <c r="J55"/>
      <c r="K55"/>
      <c r="L55"/>
      <c r="M55"/>
      <c r="N55" s="29" t="str">
        <f>LOWER(CONCATENATE("bittrex:",SUBSTITUTE(bittrex[[#This Row],[Column1.MarketName]],"-","")))</f>
        <v>bittrex:btcebst</v>
      </c>
      <c r="O55" s="26" t="str">
        <f>LOWER(CONCATENATE(SUBSTITUTE(bittrex[[#This Row],[Column1.MarketName]],"-","")))</f>
        <v>btcebst</v>
      </c>
      <c r="P55" s="37">
        <f>bittrex[[#This Row],[Column1.Last]]</f>
        <v>2.938E-5</v>
      </c>
    </row>
    <row r="56" spans="1:16">
      <c r="A56"/>
      <c r="B56"/>
      <c r="C56"/>
      <c r="D56"/>
      <c r="E56"/>
      <c r="F56"/>
      <c r="G56"/>
      <c r="H56"/>
      <c r="I56"/>
      <c r="J56"/>
      <c r="K56"/>
      <c r="L56"/>
      <c r="M56"/>
      <c r="N56" s="29" t="str">
        <f>LOWER(CONCATENATE("bittrex:",SUBSTITUTE(bittrex[[#This Row],[Column1.MarketName]],"-","")))</f>
        <v>bittrex:btcedg</v>
      </c>
      <c r="O56" s="26" t="str">
        <f>LOWER(CONCATENATE(SUBSTITUTE(bittrex[[#This Row],[Column1.MarketName]],"-","")))</f>
        <v>btcedg</v>
      </c>
      <c r="P56" s="37">
        <f>bittrex[[#This Row],[Column1.Last]]</f>
        <v>1.4397999999999999E-4</v>
      </c>
    </row>
    <row r="57" spans="1:16">
      <c r="A57"/>
      <c r="B57"/>
      <c r="C57"/>
      <c r="D57"/>
      <c r="E57"/>
      <c r="F57"/>
      <c r="G57"/>
      <c r="H57"/>
      <c r="I57"/>
      <c r="J57"/>
      <c r="K57"/>
      <c r="L57"/>
      <c r="M57"/>
      <c r="N57" s="29" t="str">
        <f>LOWER(CONCATENATE("bittrex:",SUBSTITUTE(bittrex[[#This Row],[Column1.MarketName]],"-","")))</f>
        <v>bittrex:btcefl</v>
      </c>
      <c r="O57" s="26" t="str">
        <f>LOWER(CONCATENATE(SUBSTITUTE(bittrex[[#This Row],[Column1.MarketName]],"-","")))</f>
        <v>btcefl</v>
      </c>
      <c r="P57" s="37">
        <f>bittrex[[#This Row],[Column1.Last]]</f>
        <v>2.7209999999999999E-5</v>
      </c>
    </row>
    <row r="58" spans="1:16">
      <c r="A58"/>
      <c r="B58"/>
      <c r="C58"/>
      <c r="D58"/>
      <c r="E58"/>
      <c r="F58"/>
      <c r="G58"/>
      <c r="H58"/>
      <c r="I58"/>
      <c r="J58"/>
      <c r="K58"/>
      <c r="L58"/>
      <c r="M58"/>
      <c r="N58" s="29" t="str">
        <f>LOWER(CONCATENATE("bittrex:",SUBSTITUTE(bittrex[[#This Row],[Column1.MarketName]],"-","")))</f>
        <v>bittrex:btcegc</v>
      </c>
      <c r="O58" s="26" t="str">
        <f>LOWER(CONCATENATE(SUBSTITUTE(bittrex[[#This Row],[Column1.MarketName]],"-","")))</f>
        <v>btcegc</v>
      </c>
      <c r="P58" s="37">
        <f>bittrex[[#This Row],[Column1.Last]]</f>
        <v>4.1E-5</v>
      </c>
    </row>
    <row r="59" spans="1:16">
      <c r="A59"/>
      <c r="B59"/>
      <c r="C59"/>
      <c r="D59"/>
      <c r="E59"/>
      <c r="F59"/>
      <c r="G59"/>
      <c r="H59"/>
      <c r="I59"/>
      <c r="J59"/>
      <c r="K59"/>
      <c r="L59"/>
      <c r="M59"/>
      <c r="N59" s="29" t="str">
        <f>LOWER(CONCATENATE("bittrex:",SUBSTITUTE(bittrex[[#This Row],[Column1.MarketName]],"-","")))</f>
        <v>bittrex:btcemc</v>
      </c>
      <c r="O59" s="26" t="str">
        <f>LOWER(CONCATENATE(SUBSTITUTE(bittrex[[#This Row],[Column1.MarketName]],"-","")))</f>
        <v>btcemc</v>
      </c>
      <c r="P59" s="37">
        <f>bittrex[[#This Row],[Column1.Last]]</f>
        <v>2.4628999999999997E-4</v>
      </c>
    </row>
    <row r="60" spans="1:16">
      <c r="A60"/>
      <c r="B60"/>
      <c r="C60"/>
      <c r="D60"/>
      <c r="E60"/>
      <c r="F60"/>
      <c r="G60"/>
      <c r="H60"/>
      <c r="I60"/>
      <c r="J60"/>
      <c r="K60"/>
      <c r="L60"/>
      <c r="M60"/>
      <c r="N60" s="29" t="str">
        <f>LOWER(CONCATENATE("bittrex:",SUBSTITUTE(bittrex[[#This Row],[Column1.MarketName]],"-","")))</f>
        <v>bittrex:btcemc2</v>
      </c>
      <c r="O60" s="26" t="str">
        <f>LOWER(CONCATENATE(SUBSTITUTE(bittrex[[#This Row],[Column1.MarketName]],"-","")))</f>
        <v>btcemc2</v>
      </c>
      <c r="P60" s="37">
        <f>bittrex[[#This Row],[Column1.Last]]</f>
        <v>8.6400000000000003E-6</v>
      </c>
    </row>
    <row r="61" spans="1:16">
      <c r="A61"/>
      <c r="B61"/>
      <c r="C61"/>
      <c r="D61"/>
      <c r="E61"/>
      <c r="F61"/>
      <c r="G61"/>
      <c r="H61"/>
      <c r="I61"/>
      <c r="J61"/>
      <c r="K61"/>
      <c r="L61"/>
      <c r="M61"/>
      <c r="N61" s="29" t="str">
        <f>LOWER(CONCATENATE("bittrex:",SUBSTITUTE(bittrex[[#This Row],[Column1.MarketName]],"-","")))</f>
        <v>bittrex:btcenrg</v>
      </c>
      <c r="O61" s="26" t="str">
        <f>LOWER(CONCATENATE(SUBSTITUTE(bittrex[[#This Row],[Column1.MarketName]],"-","")))</f>
        <v>btcenrg</v>
      </c>
      <c r="P61" s="37">
        <f>bittrex[[#This Row],[Column1.Last]]</f>
        <v>2.7759999999999998E-5</v>
      </c>
    </row>
    <row r="62" spans="1:16">
      <c r="A62"/>
      <c r="B62"/>
      <c r="C62"/>
      <c r="D62"/>
      <c r="E62"/>
      <c r="F62"/>
      <c r="G62"/>
      <c r="H62"/>
      <c r="I62"/>
      <c r="J62"/>
      <c r="K62"/>
      <c r="L62"/>
      <c r="M62"/>
      <c r="N62" s="29" t="str">
        <f>LOWER(CONCATENATE("bittrex:",SUBSTITUTE(bittrex[[#This Row],[Column1.MarketName]],"-","")))</f>
        <v>bittrex:btcerc</v>
      </c>
      <c r="O62" s="26" t="str">
        <f>LOWER(CONCATENATE(SUBSTITUTE(bittrex[[#This Row],[Column1.MarketName]],"-","")))</f>
        <v>btcerc</v>
      </c>
      <c r="P62" s="37">
        <f>bittrex[[#This Row],[Column1.Last]]</f>
        <v>1.0493999999999999E-4</v>
      </c>
    </row>
    <row r="63" spans="1:16">
      <c r="A63"/>
      <c r="B63"/>
      <c r="C63"/>
      <c r="D63"/>
      <c r="E63"/>
      <c r="F63"/>
      <c r="G63"/>
      <c r="H63"/>
      <c r="I63"/>
      <c r="J63"/>
      <c r="K63"/>
      <c r="L63"/>
      <c r="M63"/>
      <c r="N63" s="29" t="str">
        <f>LOWER(CONCATENATE("bittrex:",SUBSTITUTE(bittrex[[#This Row],[Column1.MarketName]],"-","")))</f>
        <v>bittrex:btcetc</v>
      </c>
      <c r="O63" s="26" t="str">
        <f>LOWER(CONCATENATE(SUBSTITUTE(bittrex[[#This Row],[Column1.MarketName]],"-","")))</f>
        <v>btcetc</v>
      </c>
      <c r="P63" s="37">
        <f>bittrex[[#This Row],[Column1.Last]]</f>
        <v>4.03609E-3</v>
      </c>
    </row>
    <row r="64" spans="1:16">
      <c r="A64"/>
      <c r="B64"/>
      <c r="C64"/>
      <c r="D64"/>
      <c r="E64"/>
      <c r="F64"/>
      <c r="G64"/>
      <c r="H64"/>
      <c r="I64"/>
      <c r="J64"/>
      <c r="K64"/>
      <c r="L64"/>
      <c r="M64"/>
      <c r="N64" s="29" t="str">
        <f>LOWER(CONCATENATE("bittrex:",SUBSTITUTE(bittrex[[#This Row],[Column1.MarketName]],"-","")))</f>
        <v>bittrex:btceth</v>
      </c>
      <c r="O64" s="26" t="str">
        <f>LOWER(CONCATENATE(SUBSTITUTE(bittrex[[#This Row],[Column1.MarketName]],"-","")))</f>
        <v>btceth</v>
      </c>
      <c r="P64" s="37">
        <f>bittrex[[#This Row],[Column1.Last]]</f>
        <v>7.1600010000000006E-2</v>
      </c>
    </row>
    <row r="65" spans="1:16">
      <c r="A65"/>
      <c r="B65"/>
      <c r="C65"/>
      <c r="D65"/>
      <c r="E65"/>
      <c r="F65"/>
      <c r="G65"/>
      <c r="H65"/>
      <c r="I65"/>
      <c r="J65"/>
      <c r="K65"/>
      <c r="L65"/>
      <c r="M65"/>
      <c r="N65" s="29" t="str">
        <f>LOWER(CONCATENATE("bittrex:",SUBSTITUTE(bittrex[[#This Row],[Column1.MarketName]],"-","")))</f>
        <v>bittrex:btcexcl</v>
      </c>
      <c r="O65" s="26" t="str">
        <f>LOWER(CONCATENATE(SUBSTITUTE(bittrex[[#This Row],[Column1.MarketName]],"-","")))</f>
        <v>btcexcl</v>
      </c>
      <c r="P65" s="37">
        <f>bittrex[[#This Row],[Column1.Last]]</f>
        <v>2.765E-4</v>
      </c>
    </row>
    <row r="66" spans="1:16">
      <c r="A66"/>
      <c r="B66"/>
      <c r="C66"/>
      <c r="D66"/>
      <c r="E66"/>
      <c r="F66"/>
      <c r="G66"/>
      <c r="H66"/>
      <c r="I66"/>
      <c r="J66"/>
      <c r="K66"/>
      <c r="L66"/>
      <c r="M66"/>
      <c r="N66" s="29" t="str">
        <f>LOWER(CONCATENATE("bittrex:",SUBSTITUTE(bittrex[[#This Row],[Column1.MarketName]],"-","")))</f>
        <v>bittrex:btcexp</v>
      </c>
      <c r="O66" s="26" t="str">
        <f>LOWER(CONCATENATE(SUBSTITUTE(bittrex[[#This Row],[Column1.MarketName]],"-","")))</f>
        <v>btcexp</v>
      </c>
      <c r="P66" s="37">
        <f>bittrex[[#This Row],[Column1.Last]]</f>
        <v>7.4001999999999998E-4</v>
      </c>
    </row>
    <row r="67" spans="1:16">
      <c r="A67"/>
      <c r="B67"/>
      <c r="C67"/>
      <c r="D67"/>
      <c r="E67"/>
      <c r="F67"/>
      <c r="G67"/>
      <c r="H67"/>
      <c r="I67"/>
      <c r="J67"/>
      <c r="K67"/>
      <c r="L67"/>
      <c r="M67"/>
      <c r="N67" s="29" t="str">
        <f>LOWER(CONCATENATE("bittrex:",SUBSTITUTE(bittrex[[#This Row],[Column1.MarketName]],"-","")))</f>
        <v>bittrex:btcfair</v>
      </c>
      <c r="O67" s="26" t="str">
        <f>LOWER(CONCATENATE(SUBSTITUTE(bittrex[[#This Row],[Column1.MarketName]],"-","")))</f>
        <v>btcfair</v>
      </c>
      <c r="P67" s="37">
        <f>bittrex[[#This Row],[Column1.Last]]</f>
        <v>1.3603000000000001E-4</v>
      </c>
    </row>
    <row r="68" spans="1:16">
      <c r="A68"/>
      <c r="B68"/>
      <c r="C68"/>
      <c r="D68"/>
      <c r="E68"/>
      <c r="F68"/>
      <c r="G68"/>
      <c r="H68"/>
      <c r="I68"/>
      <c r="J68"/>
      <c r="K68"/>
      <c r="L68"/>
      <c r="M68"/>
      <c r="N68" s="29" t="str">
        <f>LOWER(CONCATENATE("bittrex:",SUBSTITUTE(bittrex[[#This Row],[Column1.MarketName]],"-","")))</f>
        <v>bittrex:btcfct</v>
      </c>
      <c r="O68" s="26" t="str">
        <f>LOWER(CONCATENATE(SUBSTITUTE(bittrex[[#This Row],[Column1.MarketName]],"-","")))</f>
        <v>btcfct</v>
      </c>
      <c r="P68" s="37">
        <f>bittrex[[#This Row],[Column1.Last]]</f>
        <v>5.7199900000000003E-3</v>
      </c>
    </row>
    <row r="69" spans="1:16">
      <c r="A69"/>
      <c r="B69"/>
      <c r="C69"/>
      <c r="D69"/>
      <c r="E69"/>
      <c r="F69"/>
      <c r="G69"/>
      <c r="H69"/>
      <c r="I69"/>
      <c r="J69"/>
      <c r="K69"/>
      <c r="L69"/>
      <c r="M69"/>
      <c r="N69" s="29" t="str">
        <f>LOWER(CONCATENATE("bittrex:",SUBSTITUTE(bittrex[[#This Row],[Column1.MarketName]],"-","")))</f>
        <v>bittrex:btcfldc</v>
      </c>
      <c r="O69" s="26" t="str">
        <f>LOWER(CONCATENATE(SUBSTITUTE(bittrex[[#This Row],[Column1.MarketName]],"-","")))</f>
        <v>btcfldc</v>
      </c>
      <c r="P69" s="37">
        <f>bittrex[[#This Row],[Column1.Last]]</f>
        <v>3.3100000000000001E-6</v>
      </c>
    </row>
    <row r="70" spans="1:16">
      <c r="A70"/>
      <c r="B70"/>
      <c r="C70"/>
      <c r="D70"/>
      <c r="E70"/>
      <c r="F70"/>
      <c r="G70"/>
      <c r="H70"/>
      <c r="I70"/>
      <c r="J70"/>
      <c r="K70"/>
      <c r="L70"/>
      <c r="M70"/>
      <c r="N70" s="29" t="str">
        <f>LOWER(CONCATENATE("bittrex:",SUBSTITUTE(bittrex[[#This Row],[Column1.MarketName]],"-","")))</f>
        <v>bittrex:btcflo</v>
      </c>
      <c r="O70" s="26" t="str">
        <f>LOWER(CONCATENATE(SUBSTITUTE(bittrex[[#This Row],[Column1.MarketName]],"-","")))</f>
        <v>btcflo</v>
      </c>
      <c r="P70" s="37">
        <f>bittrex[[#This Row],[Column1.Last]]</f>
        <v>1.7839999999999999E-5</v>
      </c>
    </row>
    <row r="71" spans="1:16">
      <c r="A71"/>
      <c r="B71"/>
      <c r="C71"/>
      <c r="D71"/>
      <c r="E71"/>
      <c r="F71"/>
      <c r="G71"/>
      <c r="H71"/>
      <c r="I71"/>
      <c r="J71"/>
      <c r="K71"/>
      <c r="L71"/>
      <c r="M71"/>
      <c r="N71" s="29" t="str">
        <f>LOWER(CONCATENATE("bittrex:",SUBSTITUTE(bittrex[[#This Row],[Column1.MarketName]],"-","")))</f>
        <v>bittrex:btcftc</v>
      </c>
      <c r="O71" s="26" t="str">
        <f>LOWER(CONCATENATE(SUBSTITUTE(bittrex[[#This Row],[Column1.MarketName]],"-","")))</f>
        <v>btcftc</v>
      </c>
      <c r="P71" s="37">
        <f>bittrex[[#This Row],[Column1.Last]]</f>
        <v>1.348E-5</v>
      </c>
    </row>
    <row r="72" spans="1:16">
      <c r="A72"/>
      <c r="B72"/>
      <c r="C72"/>
      <c r="D72"/>
      <c r="E72"/>
      <c r="F72"/>
      <c r="G72"/>
      <c r="H72"/>
      <c r="I72"/>
      <c r="J72"/>
      <c r="K72"/>
      <c r="L72"/>
      <c r="M72"/>
      <c r="N72" s="29" t="str">
        <f>LOWER(CONCATENATE("bittrex:",SUBSTITUTE(bittrex[[#This Row],[Column1.MarketName]],"-","")))</f>
        <v>bittrex:btcfun</v>
      </c>
      <c r="O72" s="26" t="str">
        <f>LOWER(CONCATENATE(SUBSTITUTE(bittrex[[#This Row],[Column1.MarketName]],"-","")))</f>
        <v>btcfun</v>
      </c>
      <c r="P72" s="37">
        <f>bittrex[[#This Row],[Column1.Last]]</f>
        <v>5.6999999999999996E-6</v>
      </c>
    </row>
    <row r="73" spans="1:16">
      <c r="A73"/>
      <c r="B73"/>
      <c r="C73"/>
      <c r="D73"/>
      <c r="E73"/>
      <c r="F73"/>
      <c r="G73"/>
      <c r="H73"/>
      <c r="I73"/>
      <c r="J73"/>
      <c r="K73"/>
      <c r="L73"/>
      <c r="M73"/>
      <c r="N73" s="29" t="str">
        <f>LOWER(CONCATENATE("bittrex:",SUBSTITUTE(bittrex[[#This Row],[Column1.MarketName]],"-","")))</f>
        <v>bittrex:btcgam</v>
      </c>
      <c r="O73" s="26" t="str">
        <f>LOWER(CONCATENATE(SUBSTITUTE(bittrex[[#This Row],[Column1.MarketName]],"-","")))</f>
        <v>btcgam</v>
      </c>
      <c r="P73" s="37">
        <f>bittrex[[#This Row],[Column1.Last]]</f>
        <v>2.20222E-3</v>
      </c>
    </row>
    <row r="74" spans="1:16">
      <c r="A74"/>
      <c r="B74"/>
      <c r="C74"/>
      <c r="D74"/>
      <c r="E74"/>
      <c r="F74"/>
      <c r="G74"/>
      <c r="H74"/>
      <c r="I74"/>
      <c r="J74"/>
      <c r="K74"/>
      <c r="L74"/>
      <c r="M74"/>
      <c r="N74" s="29" t="str">
        <f>LOWER(CONCATENATE("bittrex:",SUBSTITUTE(bittrex[[#This Row],[Column1.MarketName]],"-","")))</f>
        <v>bittrex:btcgame</v>
      </c>
      <c r="O74" s="26" t="str">
        <f>LOWER(CONCATENATE(SUBSTITUTE(bittrex[[#This Row],[Column1.MarketName]],"-","")))</f>
        <v>btcgame</v>
      </c>
      <c r="P74" s="37">
        <f>bittrex[[#This Row],[Column1.Last]]</f>
        <v>4.4439000000000002E-4</v>
      </c>
    </row>
    <row r="75" spans="1:16">
      <c r="A75"/>
      <c r="B75"/>
      <c r="C75"/>
      <c r="D75"/>
      <c r="E75"/>
      <c r="F75"/>
      <c r="G75"/>
      <c r="H75"/>
      <c r="I75"/>
      <c r="J75"/>
      <c r="K75"/>
      <c r="L75"/>
      <c r="M75"/>
      <c r="N75" s="29" t="str">
        <f>LOWER(CONCATENATE("bittrex:",SUBSTITUTE(bittrex[[#This Row],[Column1.MarketName]],"-","")))</f>
        <v>bittrex:btcgbg</v>
      </c>
      <c r="O75" s="26" t="str">
        <f>LOWER(CONCATENATE(SUBSTITUTE(bittrex[[#This Row],[Column1.MarketName]],"-","")))</f>
        <v>btcgbg</v>
      </c>
      <c r="P75" s="37">
        <f>bittrex[[#This Row],[Column1.Last]]</f>
        <v>2.1109999999999999E-5</v>
      </c>
    </row>
    <row r="76" spans="1:16">
      <c r="A76"/>
      <c r="B76"/>
      <c r="C76"/>
      <c r="D76"/>
      <c r="E76"/>
      <c r="F76"/>
      <c r="G76"/>
      <c r="H76"/>
      <c r="I76"/>
      <c r="J76"/>
      <c r="K76"/>
      <c r="L76"/>
      <c r="M76"/>
      <c r="N76" s="29" t="str">
        <f>LOWER(CONCATENATE("bittrex:",SUBSTITUTE(bittrex[[#This Row],[Column1.MarketName]],"-","")))</f>
        <v>bittrex:btcgbyte</v>
      </c>
      <c r="O76" s="26" t="str">
        <f>LOWER(CONCATENATE(SUBSTITUTE(bittrex[[#This Row],[Column1.MarketName]],"-","")))</f>
        <v>btcgbyte</v>
      </c>
      <c r="P76" s="37">
        <f>bittrex[[#This Row],[Column1.Last]]</f>
        <v>6.8243170000000006E-2</v>
      </c>
    </row>
    <row r="77" spans="1:16">
      <c r="A77"/>
      <c r="B77"/>
      <c r="C77"/>
      <c r="D77"/>
      <c r="E77"/>
      <c r="F77"/>
      <c r="G77"/>
      <c r="H77"/>
      <c r="I77"/>
      <c r="J77"/>
      <c r="K77"/>
      <c r="L77"/>
      <c r="M77"/>
      <c r="N77" s="29" t="str">
        <f>LOWER(CONCATENATE("bittrex:",SUBSTITUTE(bittrex[[#This Row],[Column1.MarketName]],"-","")))</f>
        <v>bittrex:btcgcr</v>
      </c>
      <c r="O77" s="26" t="str">
        <f>LOWER(CONCATENATE(SUBSTITUTE(bittrex[[#This Row],[Column1.MarketName]],"-","")))</f>
        <v>btcgcr</v>
      </c>
      <c r="P77" s="37">
        <f>bittrex[[#This Row],[Column1.Last]]</f>
        <v>1.099E-5</v>
      </c>
    </row>
    <row r="78" spans="1:16">
      <c r="A78"/>
      <c r="B78"/>
      <c r="C78"/>
      <c r="D78"/>
      <c r="E78"/>
      <c r="F78"/>
      <c r="G78"/>
      <c r="H78"/>
      <c r="I78"/>
      <c r="J78"/>
      <c r="K78"/>
      <c r="L78"/>
      <c r="M78"/>
      <c r="N78" s="29" t="str">
        <f>LOWER(CONCATENATE("bittrex:",SUBSTITUTE(bittrex[[#This Row],[Column1.MarketName]],"-","")))</f>
        <v>bittrex:btcgeo</v>
      </c>
      <c r="O78" s="26" t="str">
        <f>LOWER(CONCATENATE(SUBSTITUTE(bittrex[[#This Row],[Column1.MarketName]],"-","")))</f>
        <v>btcgeo</v>
      </c>
      <c r="P78" s="37">
        <f>bittrex[[#This Row],[Column1.Last]]</f>
        <v>3.1402999999999997E-4</v>
      </c>
    </row>
    <row r="79" spans="1:16">
      <c r="A79"/>
      <c r="B79"/>
      <c r="C79"/>
      <c r="D79"/>
      <c r="E79"/>
      <c r="F79"/>
      <c r="G79"/>
      <c r="H79"/>
      <c r="I79"/>
      <c r="J79"/>
      <c r="K79"/>
      <c r="L79"/>
      <c r="M79"/>
      <c r="N79" s="29" t="str">
        <f>LOWER(CONCATENATE("bittrex:",SUBSTITUTE(bittrex[[#This Row],[Column1.MarketName]],"-","")))</f>
        <v>bittrex:btcgld</v>
      </c>
      <c r="O79" s="26" t="str">
        <f>LOWER(CONCATENATE(SUBSTITUTE(bittrex[[#This Row],[Column1.MarketName]],"-","")))</f>
        <v>btcgld</v>
      </c>
      <c r="P79" s="37">
        <f>bittrex[[#This Row],[Column1.Last]]</f>
        <v>2.3010000000000002E-5</v>
      </c>
    </row>
    <row r="80" spans="1:16">
      <c r="A80"/>
      <c r="B80"/>
      <c r="C80"/>
      <c r="D80"/>
      <c r="E80"/>
      <c r="F80"/>
      <c r="G80"/>
      <c r="H80"/>
      <c r="I80"/>
      <c r="J80"/>
      <c r="K80"/>
      <c r="L80"/>
      <c r="M80"/>
      <c r="N80" s="29" t="str">
        <f>LOWER(CONCATENATE("bittrex:",SUBSTITUTE(bittrex[[#This Row],[Column1.MarketName]],"-","")))</f>
        <v>bittrex:btcgno</v>
      </c>
      <c r="O80" s="26" t="str">
        <f>LOWER(CONCATENATE(SUBSTITUTE(bittrex[[#This Row],[Column1.MarketName]],"-","")))</f>
        <v>btcgno</v>
      </c>
      <c r="P80" s="37">
        <f>bittrex[[#This Row],[Column1.Last]]</f>
        <v>3.3135640000000001E-2</v>
      </c>
    </row>
    <row r="81" spans="1:16">
      <c r="A81"/>
      <c r="B81"/>
      <c r="C81"/>
      <c r="D81"/>
      <c r="E81"/>
      <c r="F81"/>
      <c r="G81"/>
      <c r="H81"/>
      <c r="I81"/>
      <c r="J81"/>
      <c r="K81"/>
      <c r="L81"/>
      <c r="M81"/>
      <c r="N81" s="29" t="str">
        <f>LOWER(CONCATENATE("bittrex:",SUBSTITUTE(bittrex[[#This Row],[Column1.MarketName]],"-","")))</f>
        <v>bittrex:btcgnt</v>
      </c>
      <c r="O81" s="26" t="str">
        <f>LOWER(CONCATENATE(SUBSTITUTE(bittrex[[#This Row],[Column1.MarketName]],"-","")))</f>
        <v>btcgnt</v>
      </c>
      <c r="P81" s="37">
        <f>bittrex[[#This Row],[Column1.Last]]</f>
        <v>1.088E-4</v>
      </c>
    </row>
    <row r="82" spans="1:16">
      <c r="A82"/>
      <c r="B82"/>
      <c r="C82"/>
      <c r="D82"/>
      <c r="E82"/>
      <c r="F82"/>
      <c r="G82"/>
      <c r="H82"/>
      <c r="I82"/>
      <c r="J82"/>
      <c r="K82"/>
      <c r="L82"/>
      <c r="M82"/>
      <c r="N82" s="29" t="str">
        <f>LOWER(CONCATENATE("bittrex:",SUBSTITUTE(bittrex[[#This Row],[Column1.MarketName]],"-","")))</f>
        <v>bittrex:btcgolos</v>
      </c>
      <c r="O82" s="26" t="str">
        <f>LOWER(CONCATENATE(SUBSTITUTE(bittrex[[#This Row],[Column1.MarketName]],"-","")))</f>
        <v>btcgolos</v>
      </c>
      <c r="P82" s="37">
        <f>bittrex[[#This Row],[Column1.Last]]</f>
        <v>3.0090000000000002E-5</v>
      </c>
    </row>
    <row r="83" spans="1:16">
      <c r="A83"/>
      <c r="B83"/>
      <c r="C83"/>
      <c r="D83"/>
      <c r="E83"/>
      <c r="F83"/>
      <c r="G83"/>
      <c r="H83"/>
      <c r="I83"/>
      <c r="J83"/>
      <c r="K83"/>
      <c r="L83"/>
      <c r="M83"/>
      <c r="N83" s="29" t="str">
        <f>LOWER(CONCATENATE("bittrex:",SUBSTITUTE(bittrex[[#This Row],[Column1.MarketName]],"-","")))</f>
        <v>bittrex:btcgrc</v>
      </c>
      <c r="O83" s="26" t="str">
        <f>LOWER(CONCATENATE(SUBSTITUTE(bittrex[[#This Row],[Column1.MarketName]],"-","")))</f>
        <v>btcgrc</v>
      </c>
      <c r="P83" s="37">
        <f>bittrex[[#This Row],[Column1.Last]]</f>
        <v>8.3100000000000001E-6</v>
      </c>
    </row>
    <row r="84" spans="1:16">
      <c r="A84"/>
      <c r="B84"/>
      <c r="C84"/>
      <c r="D84"/>
      <c r="E84"/>
      <c r="F84"/>
      <c r="G84"/>
      <c r="H84"/>
      <c r="I84"/>
      <c r="J84"/>
      <c r="K84"/>
      <c r="L84"/>
      <c r="M84"/>
      <c r="N84" s="29" t="str">
        <f>LOWER(CONCATENATE("bittrex:",SUBSTITUTE(bittrex[[#This Row],[Column1.MarketName]],"-","")))</f>
        <v>bittrex:btcgrs</v>
      </c>
      <c r="O84" s="26" t="str">
        <f>LOWER(CONCATENATE(SUBSTITUTE(bittrex[[#This Row],[Column1.MarketName]],"-","")))</f>
        <v>btcgrs</v>
      </c>
      <c r="P84" s="37">
        <f>bittrex[[#This Row],[Column1.Last]]</f>
        <v>2.7019999999999999E-5</v>
      </c>
    </row>
    <row r="85" spans="1:16">
      <c r="A85"/>
      <c r="B85"/>
      <c r="C85"/>
      <c r="D85"/>
      <c r="E85"/>
      <c r="F85"/>
      <c r="G85"/>
      <c r="H85"/>
      <c r="I85"/>
      <c r="J85"/>
      <c r="K85"/>
      <c r="L85"/>
      <c r="M85"/>
      <c r="N85" s="29" t="str">
        <f>LOWER(CONCATENATE("bittrex:",SUBSTITUTE(bittrex[[#This Row],[Column1.MarketName]],"-","")))</f>
        <v>bittrex:btcgup</v>
      </c>
      <c r="O85" s="26" t="str">
        <f>LOWER(CONCATENATE(SUBSTITUTE(bittrex[[#This Row],[Column1.MarketName]],"-","")))</f>
        <v>btcgup</v>
      </c>
      <c r="P85" s="37">
        <f>bittrex[[#This Row],[Column1.Last]]</f>
        <v>4.689E-5</v>
      </c>
    </row>
    <row r="86" spans="1:16">
      <c r="A86"/>
      <c r="B86"/>
      <c r="C86"/>
      <c r="D86"/>
      <c r="E86"/>
      <c r="F86"/>
      <c r="G86"/>
      <c r="H86"/>
      <c r="I86"/>
      <c r="J86"/>
      <c r="K86"/>
      <c r="L86"/>
      <c r="M86"/>
      <c r="N86" s="29" t="str">
        <f>LOWER(CONCATENATE("bittrex:",SUBSTITUTE(bittrex[[#This Row],[Column1.MarketName]],"-","")))</f>
        <v>bittrex:btchkg</v>
      </c>
      <c r="O86" s="26" t="str">
        <f>LOWER(CONCATENATE(SUBSTITUTE(bittrex[[#This Row],[Column1.MarketName]],"-","")))</f>
        <v>btchkg</v>
      </c>
      <c r="P86" s="37">
        <f>bittrex[[#This Row],[Column1.Last]]</f>
        <v>8.7499999999999992E-6</v>
      </c>
    </row>
    <row r="87" spans="1:16">
      <c r="A87"/>
      <c r="B87"/>
      <c r="C87"/>
      <c r="D87"/>
      <c r="E87"/>
      <c r="F87"/>
      <c r="G87"/>
      <c r="H87"/>
      <c r="I87"/>
      <c r="J87"/>
      <c r="K87"/>
      <c r="L87"/>
      <c r="M87"/>
      <c r="N87" s="29" t="str">
        <f>LOWER(CONCATENATE("bittrex:",SUBSTITUTE(bittrex[[#This Row],[Column1.MarketName]],"-","")))</f>
        <v>bittrex:btchmq</v>
      </c>
      <c r="O87" s="26" t="str">
        <f>LOWER(CONCATENATE(SUBSTITUTE(bittrex[[#This Row],[Column1.MarketName]],"-","")))</f>
        <v>btchmq</v>
      </c>
      <c r="P87" s="37">
        <f>bittrex[[#This Row],[Column1.Last]]</f>
        <v>2.6990000000000001E-5</v>
      </c>
    </row>
    <row r="88" spans="1:16">
      <c r="A88"/>
      <c r="B88"/>
      <c r="C88"/>
      <c r="D88"/>
      <c r="E88"/>
      <c r="F88"/>
      <c r="G88"/>
      <c r="H88"/>
      <c r="I88"/>
      <c r="J88"/>
      <c r="K88"/>
      <c r="L88"/>
      <c r="M88"/>
      <c r="N88" s="29" t="str">
        <f>LOWER(CONCATENATE("bittrex:",SUBSTITUTE(bittrex[[#This Row],[Column1.MarketName]],"-","")))</f>
        <v>bittrex:btcincnt</v>
      </c>
      <c r="O88" s="26" t="str">
        <f>LOWER(CONCATENATE(SUBSTITUTE(bittrex[[#This Row],[Column1.MarketName]],"-","")))</f>
        <v>btcincnt</v>
      </c>
      <c r="P88" s="37">
        <f>bittrex[[#This Row],[Column1.Last]]</f>
        <v>4.2580000000000002E-5</v>
      </c>
    </row>
    <row r="89" spans="1:16">
      <c r="A89"/>
      <c r="B89"/>
      <c r="C89"/>
      <c r="D89"/>
      <c r="E89"/>
      <c r="F89"/>
      <c r="G89"/>
      <c r="H89"/>
      <c r="I89"/>
      <c r="J89"/>
      <c r="K89"/>
      <c r="L89"/>
      <c r="M89"/>
      <c r="N89" s="29" t="str">
        <f>LOWER(CONCATENATE("bittrex:",SUBSTITUTE(bittrex[[#This Row],[Column1.MarketName]],"-","")))</f>
        <v>bittrex:btcinfx</v>
      </c>
      <c r="O89" s="26" t="str">
        <f>LOWER(CONCATENATE(SUBSTITUTE(bittrex[[#This Row],[Column1.MarketName]],"-","")))</f>
        <v>btcinfx</v>
      </c>
      <c r="P89" s="37">
        <f>bittrex[[#This Row],[Column1.Last]]</f>
        <v>1.161E-4</v>
      </c>
    </row>
    <row r="90" spans="1:16">
      <c r="A90"/>
      <c r="B90"/>
      <c r="C90"/>
      <c r="D90"/>
      <c r="E90"/>
      <c r="F90"/>
      <c r="G90"/>
      <c r="H90"/>
      <c r="I90"/>
      <c r="J90"/>
      <c r="K90"/>
      <c r="L90"/>
      <c r="M90"/>
      <c r="N90" s="29" t="str">
        <f>LOWER(CONCATENATE("bittrex:",SUBSTITUTE(bittrex[[#This Row],[Column1.MarketName]],"-","")))</f>
        <v>bittrex:btcioc</v>
      </c>
      <c r="O90" s="26" t="str">
        <f>LOWER(CONCATENATE(SUBSTITUTE(bittrex[[#This Row],[Column1.MarketName]],"-","")))</f>
        <v>btcioc</v>
      </c>
      <c r="P90" s="37">
        <f>bittrex[[#This Row],[Column1.Last]]</f>
        <v>5.4443999999999998E-4</v>
      </c>
    </row>
    <row r="91" spans="1:16">
      <c r="A91"/>
      <c r="B91"/>
      <c r="C91"/>
      <c r="D91"/>
      <c r="E91"/>
      <c r="F91"/>
      <c r="G91"/>
      <c r="H91"/>
      <c r="I91"/>
      <c r="J91"/>
      <c r="K91"/>
      <c r="L91"/>
      <c r="M91"/>
      <c r="N91" s="29" t="str">
        <f>LOWER(CONCATENATE("bittrex:",SUBSTITUTE(bittrex[[#This Row],[Column1.MarketName]],"-","")))</f>
        <v>bittrex:btcion</v>
      </c>
      <c r="O91" s="26" t="str">
        <f>LOWER(CONCATENATE(SUBSTITUTE(bittrex[[#This Row],[Column1.MarketName]],"-","")))</f>
        <v>btcion</v>
      </c>
      <c r="P91" s="37">
        <f>bittrex[[#This Row],[Column1.Last]]</f>
        <v>3.1501000000000001E-4</v>
      </c>
    </row>
    <row r="92" spans="1:16">
      <c r="A92"/>
      <c r="B92"/>
      <c r="C92"/>
      <c r="D92"/>
      <c r="E92"/>
      <c r="F92"/>
      <c r="G92"/>
      <c r="H92"/>
      <c r="I92"/>
      <c r="J92"/>
      <c r="K92"/>
      <c r="L92"/>
      <c r="M92"/>
      <c r="N92" s="29" t="str">
        <f>LOWER(CONCATENATE("bittrex:",SUBSTITUTE(bittrex[[#This Row],[Column1.MarketName]],"-","")))</f>
        <v>bittrex:btciop</v>
      </c>
      <c r="O92" s="26" t="str">
        <f>LOWER(CONCATENATE(SUBSTITUTE(bittrex[[#This Row],[Column1.MarketName]],"-","")))</f>
        <v>btciop</v>
      </c>
      <c r="P92" s="37">
        <f>bittrex[[#This Row],[Column1.Last]]</f>
        <v>1.5892E-4</v>
      </c>
    </row>
    <row r="93" spans="1:16">
      <c r="A93"/>
      <c r="B93"/>
      <c r="C93"/>
      <c r="D93"/>
      <c r="E93"/>
      <c r="F93"/>
      <c r="G93"/>
      <c r="H93"/>
      <c r="I93"/>
      <c r="J93"/>
      <c r="K93"/>
      <c r="L93"/>
      <c r="M93"/>
      <c r="N93" s="29" t="str">
        <f>LOWER(CONCATENATE("bittrex:",SUBSTITUTE(bittrex[[#This Row],[Column1.MarketName]],"-","")))</f>
        <v>bittrex:btckmd</v>
      </c>
      <c r="O93" s="26" t="str">
        <f>LOWER(CONCATENATE(SUBSTITUTE(bittrex[[#This Row],[Column1.MarketName]],"-","")))</f>
        <v>btckmd</v>
      </c>
      <c r="P93" s="37">
        <f>bittrex[[#This Row],[Column1.Last]]</f>
        <v>6.7009000000000003E-4</v>
      </c>
    </row>
    <row r="94" spans="1:16">
      <c r="A94"/>
      <c r="B94"/>
      <c r="C94"/>
      <c r="D94"/>
      <c r="E94"/>
      <c r="F94"/>
      <c r="G94"/>
      <c r="H94"/>
      <c r="I94"/>
      <c r="J94"/>
      <c r="K94"/>
      <c r="L94"/>
      <c r="M94"/>
      <c r="N94" s="29" t="str">
        <f>LOWER(CONCATENATE("bittrex:",SUBSTITUTE(bittrex[[#This Row],[Column1.MarketName]],"-","")))</f>
        <v>bittrex:btckore</v>
      </c>
      <c r="O94" s="26" t="str">
        <f>LOWER(CONCATENATE(SUBSTITUTE(bittrex[[#This Row],[Column1.MarketName]],"-","")))</f>
        <v>btckore</v>
      </c>
      <c r="P94" s="37">
        <f>bittrex[[#This Row],[Column1.Last]]</f>
        <v>6.3161000000000001E-4</v>
      </c>
    </row>
    <row r="95" spans="1:16">
      <c r="A95"/>
      <c r="B95"/>
      <c r="C95"/>
      <c r="D95"/>
      <c r="E95"/>
      <c r="F95"/>
      <c r="G95"/>
      <c r="H95"/>
      <c r="I95"/>
      <c r="J95"/>
      <c r="K95"/>
      <c r="L95"/>
      <c r="M95"/>
      <c r="N95" s="29" t="str">
        <f>LOWER(CONCATENATE("bittrex:",SUBSTITUTE(bittrex[[#This Row],[Column1.MarketName]],"-","")))</f>
        <v>bittrex:btclbc</v>
      </c>
      <c r="O95" s="26" t="str">
        <f>LOWER(CONCATENATE(SUBSTITUTE(bittrex[[#This Row],[Column1.MarketName]],"-","")))</f>
        <v>btclbc</v>
      </c>
      <c r="P95" s="37">
        <f>bittrex[[#This Row],[Column1.Last]]</f>
        <v>7.3960000000000003E-5</v>
      </c>
    </row>
    <row r="96" spans="1:16">
      <c r="A96"/>
      <c r="B96"/>
      <c r="C96"/>
      <c r="D96"/>
      <c r="E96"/>
      <c r="F96"/>
      <c r="G96"/>
      <c r="H96"/>
      <c r="I96"/>
      <c r="J96"/>
      <c r="K96"/>
      <c r="L96"/>
      <c r="M96"/>
      <c r="N96" s="29" t="str">
        <f>LOWER(CONCATENATE("bittrex:",SUBSTITUTE(bittrex[[#This Row],[Column1.MarketName]],"-","")))</f>
        <v>bittrex:btclgd</v>
      </c>
      <c r="O96" s="26" t="str">
        <f>LOWER(CONCATENATE(SUBSTITUTE(bittrex[[#This Row],[Column1.MarketName]],"-","")))</f>
        <v>btclgd</v>
      </c>
      <c r="P96" s="37">
        <f>bittrex[[#This Row],[Column1.Last]]</f>
        <v>3.366E-4</v>
      </c>
    </row>
    <row r="97" spans="1:16">
      <c r="A97"/>
      <c r="B97"/>
      <c r="C97"/>
      <c r="D97"/>
      <c r="E97"/>
      <c r="F97"/>
      <c r="G97"/>
      <c r="H97"/>
      <c r="I97"/>
      <c r="J97"/>
      <c r="K97"/>
      <c r="L97"/>
      <c r="M97"/>
      <c r="N97" s="29" t="str">
        <f>LOWER(CONCATENATE("bittrex:",SUBSTITUTE(bittrex[[#This Row],[Column1.MarketName]],"-","")))</f>
        <v>bittrex:btclmc</v>
      </c>
      <c r="O97" s="26" t="str">
        <f>LOWER(CONCATENATE(SUBSTITUTE(bittrex[[#This Row],[Column1.MarketName]],"-","")))</f>
        <v>btclmc</v>
      </c>
      <c r="P97" s="37">
        <f>bittrex[[#This Row],[Column1.Last]]</f>
        <v>7.8199999999999997E-6</v>
      </c>
    </row>
    <row r="98" spans="1:16">
      <c r="A98"/>
      <c r="B98"/>
      <c r="C98"/>
      <c r="D98"/>
      <c r="E98"/>
      <c r="F98"/>
      <c r="G98"/>
      <c r="H98"/>
      <c r="I98"/>
      <c r="J98"/>
      <c r="K98"/>
      <c r="L98"/>
      <c r="M98"/>
      <c r="N98" s="29" t="str">
        <f>LOWER(CONCATENATE("bittrex:",SUBSTITUTE(bittrex[[#This Row],[Column1.MarketName]],"-","")))</f>
        <v>bittrex:btclsk</v>
      </c>
      <c r="O98" s="26" t="str">
        <f>LOWER(CONCATENATE(SUBSTITUTE(bittrex[[#This Row],[Column1.MarketName]],"-","")))</f>
        <v>btclsk</v>
      </c>
      <c r="P98" s="37">
        <f>bittrex[[#This Row],[Column1.Last]]</f>
        <v>1.57412E-3</v>
      </c>
    </row>
    <row r="99" spans="1:16">
      <c r="A99"/>
      <c r="B99"/>
      <c r="C99"/>
      <c r="D99"/>
      <c r="E99"/>
      <c r="F99"/>
      <c r="G99"/>
      <c r="H99"/>
      <c r="I99"/>
      <c r="J99"/>
      <c r="K99"/>
      <c r="L99"/>
      <c r="M99"/>
      <c r="N99" s="29" t="str">
        <f>LOWER(CONCATENATE("bittrex:",SUBSTITUTE(bittrex[[#This Row],[Column1.MarketName]],"-","")))</f>
        <v>bittrex:btcltc</v>
      </c>
      <c r="O99" s="26" t="str">
        <f>LOWER(CONCATENATE(SUBSTITUTE(bittrex[[#This Row],[Column1.MarketName]],"-","")))</f>
        <v>btcltc</v>
      </c>
      <c r="P99" s="37">
        <f>bittrex[[#This Row],[Column1.Last]]</f>
        <v>1.7300039999999999E-2</v>
      </c>
    </row>
    <row r="100" spans="1:16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 s="29" t="str">
        <f>LOWER(CONCATENATE("bittrex:",SUBSTITUTE(bittrex[[#This Row],[Column1.MarketName]],"-","")))</f>
        <v>bittrex:btclun</v>
      </c>
      <c r="O100" s="26" t="str">
        <f>LOWER(CONCATENATE(SUBSTITUTE(bittrex[[#This Row],[Column1.MarketName]],"-","")))</f>
        <v>btclun</v>
      </c>
      <c r="P100" s="37">
        <f>bittrex[[#This Row],[Column1.Last]]</f>
        <v>1.86594E-3</v>
      </c>
    </row>
    <row r="101" spans="1:16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 s="29" t="str">
        <f>LOWER(CONCATENATE("bittrex:",SUBSTITUTE(bittrex[[#This Row],[Column1.MarketName]],"-","")))</f>
        <v>bittrex:btcmaid</v>
      </c>
      <c r="O101" s="26" t="str">
        <f>LOWER(CONCATENATE(SUBSTITUTE(bittrex[[#This Row],[Column1.MarketName]],"-","")))</f>
        <v>btcmaid</v>
      </c>
      <c r="P101" s="37">
        <f>bittrex[[#This Row],[Column1.Last]]</f>
        <v>1.4611E-4</v>
      </c>
    </row>
    <row r="102" spans="1:16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 s="29" t="str">
        <f>LOWER(CONCATENATE("bittrex:",SUBSTITUTE(bittrex[[#This Row],[Column1.MarketName]],"-","")))</f>
        <v>bittrex:btcmco</v>
      </c>
      <c r="O102" s="26" t="str">
        <f>LOWER(CONCATENATE(SUBSTITUTE(bittrex[[#This Row],[Column1.MarketName]],"-","")))</f>
        <v>btcmco</v>
      </c>
      <c r="P102" s="37">
        <f>bittrex[[#This Row],[Column1.Last]]</f>
        <v>2.0559300000000001E-3</v>
      </c>
    </row>
    <row r="103" spans="1:16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 s="29" t="str">
        <f>LOWER(CONCATENATE("bittrex:",SUBSTITUTE(bittrex[[#This Row],[Column1.MarketName]],"-","")))</f>
        <v>bittrex:btcmeme</v>
      </c>
      <c r="O103" s="26" t="str">
        <f>LOWER(CONCATENATE(SUBSTITUTE(bittrex[[#This Row],[Column1.MarketName]],"-","")))</f>
        <v>btcmeme</v>
      </c>
      <c r="P103" s="37">
        <f>bittrex[[#This Row],[Column1.Last]]</f>
        <v>3.3729999999999997E-5</v>
      </c>
    </row>
    <row r="104" spans="1:16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 s="29" t="str">
        <f>LOWER(CONCATENATE("bittrex:",SUBSTITUTE(bittrex[[#This Row],[Column1.MarketName]],"-","")))</f>
        <v>bittrex:btcmln</v>
      </c>
      <c r="O104" s="26" t="str">
        <f>LOWER(CONCATENATE(SUBSTITUTE(bittrex[[#This Row],[Column1.MarketName]],"-","")))</f>
        <v>btcmln</v>
      </c>
      <c r="P104" s="37">
        <f>bittrex[[#This Row],[Column1.Last]]</f>
        <v>1.6261000000000001E-2</v>
      </c>
    </row>
    <row r="105" spans="1:16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 s="29" t="str">
        <f>LOWER(CONCATENATE("bittrex:",SUBSTITUTE(bittrex[[#This Row],[Column1.MarketName]],"-","")))</f>
        <v>bittrex:btcmona</v>
      </c>
      <c r="O105" s="26" t="str">
        <f>LOWER(CONCATENATE(SUBSTITUTE(bittrex[[#This Row],[Column1.MarketName]],"-","")))</f>
        <v>btcmona</v>
      </c>
      <c r="P105" s="37">
        <f>bittrex[[#This Row],[Column1.Last]]</f>
        <v>1.2111E-4</v>
      </c>
    </row>
    <row r="106" spans="1:16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 s="29" t="str">
        <f>LOWER(CONCATENATE("bittrex:",SUBSTITUTE(bittrex[[#This Row],[Column1.MarketName]],"-","")))</f>
        <v>bittrex:btcmtl</v>
      </c>
      <c r="O106" s="26" t="str">
        <f>LOWER(CONCATENATE(SUBSTITUTE(bittrex[[#This Row],[Column1.MarketName]],"-","")))</f>
        <v>btcmtl</v>
      </c>
      <c r="P106" s="37">
        <f>bittrex[[#This Row],[Column1.Last]]</f>
        <v>2.49241E-3</v>
      </c>
    </row>
    <row r="107" spans="1:16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 s="29" t="str">
        <f>LOWER(CONCATENATE("bittrex:",SUBSTITUTE(bittrex[[#This Row],[Column1.MarketName]],"-","")))</f>
        <v>bittrex:btcmue</v>
      </c>
      <c r="O107" s="26" t="str">
        <f>LOWER(CONCATENATE(SUBSTITUTE(bittrex[[#This Row],[Column1.MarketName]],"-","")))</f>
        <v>btcmue</v>
      </c>
      <c r="P107" s="37">
        <f>bittrex[[#This Row],[Column1.Last]]</f>
        <v>3.5299999999999997E-5</v>
      </c>
    </row>
    <row r="108" spans="1:16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 s="29" t="str">
        <f>LOWER(CONCATENATE("bittrex:",SUBSTITUTE(bittrex[[#This Row],[Column1.MarketName]],"-","")))</f>
        <v>bittrex:btcmusic</v>
      </c>
      <c r="O108" s="26" t="str">
        <f>LOWER(CONCATENATE(SUBSTITUTE(bittrex[[#This Row],[Column1.MarketName]],"-","")))</f>
        <v>btcmusic</v>
      </c>
      <c r="P108" s="37">
        <f>bittrex[[#This Row],[Column1.Last]]</f>
        <v>6.5599999999999999E-6</v>
      </c>
    </row>
    <row r="109" spans="1:16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 s="29" t="str">
        <f>LOWER(CONCATENATE("bittrex:",SUBSTITUTE(bittrex[[#This Row],[Column1.MarketName]],"-","")))</f>
        <v>bittrex:btcmyst</v>
      </c>
      <c r="O109" s="26" t="str">
        <f>LOWER(CONCATENATE(SUBSTITUTE(bittrex[[#This Row],[Column1.MarketName]],"-","")))</f>
        <v>btcmyst</v>
      </c>
      <c r="P109" s="37">
        <f>bittrex[[#This Row],[Column1.Last]]</f>
        <v>2.8237E-4</v>
      </c>
    </row>
    <row r="110" spans="1:16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 s="29" t="str">
        <f>LOWER(CONCATENATE("bittrex:",SUBSTITUTE(bittrex[[#This Row],[Column1.MarketName]],"-","")))</f>
        <v>bittrex:btcnav</v>
      </c>
      <c r="O110" s="26" t="str">
        <f>LOWER(CONCATENATE(SUBSTITUTE(bittrex[[#This Row],[Column1.MarketName]],"-","")))</f>
        <v>btcnav</v>
      </c>
      <c r="P110" s="37">
        <f>bittrex[[#This Row],[Column1.Last]]</f>
        <v>3.3255999999999997E-4</v>
      </c>
    </row>
    <row r="111" spans="1:16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 s="29" t="str">
        <f>LOWER(CONCATENATE("bittrex:",SUBSTITUTE(bittrex[[#This Row],[Column1.MarketName]],"-","")))</f>
        <v>bittrex:btcnbt</v>
      </c>
      <c r="O111" s="26" t="str">
        <f>LOWER(CONCATENATE(SUBSTITUTE(bittrex[[#This Row],[Column1.MarketName]],"-","")))</f>
        <v>btcnbt</v>
      </c>
      <c r="P111" s="37">
        <f>bittrex[[#This Row],[Column1.Last]]</f>
        <v>2.2199000000000001E-4</v>
      </c>
    </row>
    <row r="112" spans="1:16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 s="29" t="str">
        <f>LOWER(CONCATENATE("bittrex:",SUBSTITUTE(bittrex[[#This Row],[Column1.MarketName]],"-","")))</f>
        <v>bittrex:btcneo</v>
      </c>
      <c r="O112" s="26" t="str">
        <f>LOWER(CONCATENATE(SUBSTITUTE(bittrex[[#This Row],[Column1.MarketName]],"-","")))</f>
        <v>btcneo</v>
      </c>
      <c r="P112" s="37">
        <f>bittrex[[#This Row],[Column1.Last]]</f>
        <v>5.3639200000000003E-3</v>
      </c>
    </row>
    <row r="113" spans="1:16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 s="29" t="str">
        <f>LOWER(CONCATENATE("bittrex:",SUBSTITUTE(bittrex[[#This Row],[Column1.MarketName]],"-","")))</f>
        <v>bittrex:btcneos</v>
      </c>
      <c r="O113" s="26" t="str">
        <f>LOWER(CONCATENATE(SUBSTITUTE(bittrex[[#This Row],[Column1.MarketName]],"-","")))</f>
        <v>btcneos</v>
      </c>
      <c r="P113" s="37">
        <f>bittrex[[#This Row],[Column1.Last]]</f>
        <v>9.0788000000000002E-4</v>
      </c>
    </row>
    <row r="114" spans="1:16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 s="29" t="str">
        <f>LOWER(CONCATENATE("bittrex:",SUBSTITUTE(bittrex[[#This Row],[Column1.MarketName]],"-","")))</f>
        <v>bittrex:btcnlg</v>
      </c>
      <c r="O114" s="26" t="str">
        <f>LOWER(CONCATENATE(SUBSTITUTE(bittrex[[#This Row],[Column1.MarketName]],"-","")))</f>
        <v>btcnlg</v>
      </c>
      <c r="P114" s="37">
        <f>bittrex[[#This Row],[Column1.Last]]</f>
        <v>2.8390000000000001E-5</v>
      </c>
    </row>
    <row r="115" spans="1:16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 s="29" t="str">
        <f>LOWER(CONCATENATE("bittrex:",SUBSTITUTE(bittrex[[#This Row],[Column1.MarketName]],"-","")))</f>
        <v>bittrex:btcnmr</v>
      </c>
      <c r="O115" s="26" t="str">
        <f>LOWER(CONCATENATE(SUBSTITUTE(bittrex[[#This Row],[Column1.MarketName]],"-","")))</f>
        <v>btcnmr</v>
      </c>
      <c r="P115" s="37">
        <f>bittrex[[#This Row],[Column1.Last]]</f>
        <v>4.6800000000000001E-3</v>
      </c>
    </row>
    <row r="116" spans="1:16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 s="29" t="str">
        <f>LOWER(CONCATENATE("bittrex:",SUBSTITUTE(bittrex[[#This Row],[Column1.MarketName]],"-","")))</f>
        <v>bittrex:btcnxc</v>
      </c>
      <c r="O116" s="26" t="str">
        <f>LOWER(CONCATENATE(SUBSTITUTE(bittrex[[#This Row],[Column1.MarketName]],"-","")))</f>
        <v>btcnxc</v>
      </c>
      <c r="P116" s="37">
        <f>bittrex[[#This Row],[Column1.Last]]</f>
        <v>5.6010000000000001E-5</v>
      </c>
    </row>
    <row r="117" spans="1:16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 s="29" t="str">
        <f>LOWER(CONCATENATE("bittrex:",SUBSTITUTE(bittrex[[#This Row],[Column1.MarketName]],"-","")))</f>
        <v>bittrex:btcnxs</v>
      </c>
      <c r="O117" s="26" t="str">
        <f>LOWER(CONCATENATE(SUBSTITUTE(bittrex[[#This Row],[Column1.MarketName]],"-","")))</f>
        <v>btcnxs</v>
      </c>
      <c r="P117" s="37">
        <f>bittrex[[#This Row],[Column1.Last]]</f>
        <v>7.0388000000000004E-4</v>
      </c>
    </row>
    <row r="118" spans="1:16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 s="29" t="str">
        <f>LOWER(CONCATENATE("bittrex:",SUBSTITUTE(bittrex[[#This Row],[Column1.MarketName]],"-","")))</f>
        <v>bittrex:btcnxt</v>
      </c>
      <c r="O118" s="26" t="str">
        <f>LOWER(CONCATENATE(SUBSTITUTE(bittrex[[#This Row],[Column1.MarketName]],"-","")))</f>
        <v>btcnxt</v>
      </c>
      <c r="P118" s="37">
        <f>bittrex[[#This Row],[Column1.Last]]</f>
        <v>2.4000000000000001E-5</v>
      </c>
    </row>
    <row r="119" spans="1:16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 s="29" t="str">
        <f>LOWER(CONCATENATE("bittrex:",SUBSTITUTE(bittrex[[#This Row],[Column1.MarketName]],"-","")))</f>
        <v>bittrex:btcok</v>
      </c>
      <c r="O119" s="26" t="str">
        <f>LOWER(CONCATENATE(SUBSTITUTE(bittrex[[#This Row],[Column1.MarketName]],"-","")))</f>
        <v>btcok</v>
      </c>
      <c r="P119" s="37">
        <f>bittrex[[#This Row],[Column1.Last]]</f>
        <v>6.5010000000000003E-5</v>
      </c>
    </row>
    <row r="120" spans="1:16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 s="29" t="str">
        <f>LOWER(CONCATENATE("bittrex:",SUBSTITUTE(bittrex[[#This Row],[Column1.MarketName]],"-","")))</f>
        <v>bittrex:btcomg</v>
      </c>
      <c r="O120" s="26" t="str">
        <f>LOWER(CONCATENATE(SUBSTITUTE(bittrex[[#This Row],[Column1.MarketName]],"-","")))</f>
        <v>btcomg</v>
      </c>
      <c r="P120" s="37">
        <f>bittrex[[#This Row],[Column1.Last]]</f>
        <v>2.4700899999999999E-3</v>
      </c>
    </row>
    <row r="121" spans="1:16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 s="29" t="str">
        <f>LOWER(CONCATENATE("bittrex:",SUBSTITUTE(bittrex[[#This Row],[Column1.MarketName]],"-","")))</f>
        <v>bittrex:btcomni</v>
      </c>
      <c r="O121" s="26" t="str">
        <f>LOWER(CONCATENATE(SUBSTITUTE(bittrex[[#This Row],[Column1.MarketName]],"-","")))</f>
        <v>btcomni</v>
      </c>
      <c r="P121" s="37">
        <f>bittrex[[#This Row],[Column1.Last]]</f>
        <v>6.9199999999999999E-3</v>
      </c>
    </row>
    <row r="122" spans="1:16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 s="29" t="str">
        <f>LOWER(CONCATENATE("bittrex:",SUBSTITUTE(bittrex[[#This Row],[Column1.MarketName]],"-","")))</f>
        <v>bittrex:btcpart</v>
      </c>
      <c r="O122" s="26" t="str">
        <f>LOWER(CONCATENATE(SUBSTITUTE(bittrex[[#This Row],[Column1.MarketName]],"-","")))</f>
        <v>btcpart</v>
      </c>
      <c r="P122" s="37">
        <f>bittrex[[#This Row],[Column1.Last]]</f>
        <v>2.4501700000000002E-3</v>
      </c>
    </row>
    <row r="123" spans="1:16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 s="29" t="str">
        <f>LOWER(CONCATENATE("bittrex:",SUBSTITUTE(bittrex[[#This Row],[Column1.MarketName]],"-","")))</f>
        <v>bittrex:btcpay</v>
      </c>
      <c r="O123" s="26" t="str">
        <f>LOWER(CONCATENATE(SUBSTITUTE(bittrex[[#This Row],[Column1.MarketName]],"-","")))</f>
        <v>btcpay</v>
      </c>
      <c r="P123" s="37">
        <f>bittrex[[#This Row],[Column1.Last]]</f>
        <v>6.5052999999999997E-4</v>
      </c>
    </row>
    <row r="124" spans="1:16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 s="29" t="str">
        <f>LOWER(CONCATENATE("bittrex:",SUBSTITUTE(bittrex[[#This Row],[Column1.MarketName]],"-","")))</f>
        <v>bittrex:btcpdc</v>
      </c>
      <c r="O124" s="26" t="str">
        <f>LOWER(CONCATENATE(SUBSTITUTE(bittrex[[#This Row],[Column1.MarketName]],"-","")))</f>
        <v>btcpdc</v>
      </c>
      <c r="P124" s="37">
        <f>bittrex[[#This Row],[Column1.Last]]</f>
        <v>4.6050000000000001E-5</v>
      </c>
    </row>
    <row r="125" spans="1:16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 s="29" t="str">
        <f>LOWER(CONCATENATE("bittrex:",SUBSTITUTE(bittrex[[#This Row],[Column1.MarketName]],"-","")))</f>
        <v>bittrex:btcpink</v>
      </c>
      <c r="O125" s="26" t="str">
        <f>LOWER(CONCATENATE(SUBSTITUTE(bittrex[[#This Row],[Column1.MarketName]],"-","")))</f>
        <v>btcpink</v>
      </c>
      <c r="P125" s="37">
        <f>bittrex[[#This Row],[Column1.Last]]</f>
        <v>7.4599999999999997E-6</v>
      </c>
    </row>
    <row r="126" spans="1:16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 s="29" t="str">
        <f>LOWER(CONCATENATE("bittrex:",SUBSTITUTE(bittrex[[#This Row],[Column1.MarketName]],"-","")))</f>
        <v>bittrex:btcpivx</v>
      </c>
      <c r="O126" s="26" t="str">
        <f>LOWER(CONCATENATE(SUBSTITUTE(bittrex[[#This Row],[Column1.MarketName]],"-","")))</f>
        <v>btcpivx</v>
      </c>
      <c r="P126" s="37">
        <f>bittrex[[#This Row],[Column1.Last]]</f>
        <v>8.8051000000000004E-4</v>
      </c>
    </row>
    <row r="127" spans="1:16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 s="29" t="str">
        <f>LOWER(CONCATENATE("bittrex:",SUBSTITUTE(bittrex[[#This Row],[Column1.MarketName]],"-","")))</f>
        <v>bittrex:btcpkb</v>
      </c>
      <c r="O127" s="26" t="str">
        <f>LOWER(CONCATENATE(SUBSTITUTE(bittrex[[#This Row],[Column1.MarketName]],"-","")))</f>
        <v>btcpkb</v>
      </c>
      <c r="P127" s="37">
        <f>bittrex[[#This Row],[Column1.Last]]</f>
        <v>8.8250000000000004E-5</v>
      </c>
    </row>
    <row r="128" spans="1:16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 s="29" t="str">
        <f>LOWER(CONCATENATE("bittrex:",SUBSTITUTE(bittrex[[#This Row],[Column1.MarketName]],"-","")))</f>
        <v>bittrex:btcpot</v>
      </c>
      <c r="O128" s="26" t="str">
        <f>LOWER(CONCATENATE(SUBSTITUTE(bittrex[[#This Row],[Column1.MarketName]],"-","")))</f>
        <v>btcpot</v>
      </c>
      <c r="P128" s="37">
        <f>bittrex[[#This Row],[Column1.Last]]</f>
        <v>2.1950000000000002E-5</v>
      </c>
    </row>
    <row r="129" spans="1:16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 s="29" t="str">
        <f>LOWER(CONCATENATE("bittrex:",SUBSTITUTE(bittrex[[#This Row],[Column1.MarketName]],"-","")))</f>
        <v>bittrex:btcppc</v>
      </c>
      <c r="O129" s="26" t="str">
        <f>LOWER(CONCATENATE(SUBSTITUTE(bittrex[[#This Row],[Column1.MarketName]],"-","")))</f>
        <v>btcppc</v>
      </c>
      <c r="P129" s="37">
        <f>bittrex[[#This Row],[Column1.Last]]</f>
        <v>4.17E-4</v>
      </c>
    </row>
    <row r="130" spans="1:16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 s="29" t="str">
        <f>LOWER(CONCATENATE("bittrex:",SUBSTITUTE(bittrex[[#This Row],[Column1.MarketName]],"-","")))</f>
        <v>bittrex:btcptc</v>
      </c>
      <c r="O130" s="26" t="str">
        <f>LOWER(CONCATENATE(SUBSTITUTE(bittrex[[#This Row],[Column1.MarketName]],"-","")))</f>
        <v>btcptc</v>
      </c>
      <c r="P130" s="37">
        <f>bittrex[[#This Row],[Column1.Last]]</f>
        <v>9.6600000000000007E-6</v>
      </c>
    </row>
    <row r="131" spans="1:16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 s="29" t="str">
        <f>LOWER(CONCATENATE("bittrex:",SUBSTITUTE(bittrex[[#This Row],[Column1.MarketName]],"-","")))</f>
        <v>bittrex:btcptoy</v>
      </c>
      <c r="O131" s="26" t="str">
        <f>LOWER(CONCATENATE(SUBSTITUTE(bittrex[[#This Row],[Column1.MarketName]],"-","")))</f>
        <v>btcptoy</v>
      </c>
      <c r="P131" s="37">
        <f>bittrex[[#This Row],[Column1.Last]]</f>
        <v>8.2000000000000001E-5</v>
      </c>
    </row>
    <row r="132" spans="1:16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 s="29" t="str">
        <f>LOWER(CONCATENATE("bittrex:",SUBSTITUTE(bittrex[[#This Row],[Column1.MarketName]],"-","")))</f>
        <v>bittrex:btcqrl</v>
      </c>
      <c r="O132" s="26" t="str">
        <f>LOWER(CONCATENATE(SUBSTITUTE(bittrex[[#This Row],[Column1.MarketName]],"-","")))</f>
        <v>btcqrl</v>
      </c>
      <c r="P132" s="37">
        <f>bittrex[[#This Row],[Column1.Last]]</f>
        <v>1.2851E-4</v>
      </c>
    </row>
    <row r="133" spans="1:16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 s="29" t="str">
        <f>LOWER(CONCATENATE("bittrex:",SUBSTITUTE(bittrex[[#This Row],[Column1.MarketName]],"-","")))</f>
        <v>bittrex:btcqtum</v>
      </c>
      <c r="O133" s="26" t="str">
        <f>LOWER(CONCATENATE(SUBSTITUTE(bittrex[[#This Row],[Column1.MarketName]],"-","")))</f>
        <v>btcqtum</v>
      </c>
      <c r="P133" s="37">
        <f>bittrex[[#This Row],[Column1.Last]]</f>
        <v>2.4320100000000001E-3</v>
      </c>
    </row>
    <row r="134" spans="1:16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 s="29" t="str">
        <f>LOWER(CONCATENATE("bittrex:",SUBSTITUTE(bittrex[[#This Row],[Column1.MarketName]],"-","")))</f>
        <v>bittrex:btcqwark</v>
      </c>
      <c r="O134" s="26" t="str">
        <f>LOWER(CONCATENATE(SUBSTITUTE(bittrex[[#This Row],[Column1.MarketName]],"-","")))</f>
        <v>btcqwark</v>
      </c>
      <c r="P134" s="37">
        <f>bittrex[[#This Row],[Column1.Last]]</f>
        <v>4.8040000000000001E-5</v>
      </c>
    </row>
    <row r="135" spans="1:16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 s="29" t="str">
        <f>LOWER(CONCATENATE("bittrex:",SUBSTITUTE(bittrex[[#This Row],[Column1.MarketName]],"-","")))</f>
        <v>bittrex:btcrads</v>
      </c>
      <c r="O135" s="26" t="str">
        <f>LOWER(CONCATENATE(SUBSTITUTE(bittrex[[#This Row],[Column1.MarketName]],"-","")))</f>
        <v>btcrads</v>
      </c>
      <c r="P135" s="37">
        <f>bittrex[[#This Row],[Column1.Last]]</f>
        <v>1.4924999999999999E-3</v>
      </c>
    </row>
    <row r="136" spans="1:16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 s="29" t="str">
        <f>LOWER(CONCATENATE("bittrex:",SUBSTITUTE(bittrex[[#This Row],[Column1.MarketName]],"-","")))</f>
        <v>bittrex:btcrby</v>
      </c>
      <c r="O136" s="26" t="str">
        <f>LOWER(CONCATENATE(SUBSTITUTE(bittrex[[#This Row],[Column1.MarketName]],"-","")))</f>
        <v>btcrby</v>
      </c>
      <c r="P136" s="37">
        <f>bittrex[[#This Row],[Column1.Last]]</f>
        <v>1.3391999999999999E-4</v>
      </c>
    </row>
    <row r="137" spans="1:16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 s="29" t="str">
        <f>LOWER(CONCATENATE("bittrex:",SUBSTITUTE(bittrex[[#This Row],[Column1.MarketName]],"-","")))</f>
        <v>bittrex:btcrdd</v>
      </c>
      <c r="O137" s="26" t="str">
        <f>LOWER(CONCATENATE(SUBSTITUTE(bittrex[[#This Row],[Column1.MarketName]],"-","")))</f>
        <v>btcrdd</v>
      </c>
      <c r="P137" s="37">
        <f>bittrex[[#This Row],[Column1.Last]]</f>
        <v>2.9999999999999999E-7</v>
      </c>
    </row>
    <row r="138" spans="1:16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 s="29" t="str">
        <f>LOWER(CONCATENATE("bittrex:",SUBSTITUTE(bittrex[[#This Row],[Column1.MarketName]],"-","")))</f>
        <v>bittrex:btcrep</v>
      </c>
      <c r="O138" s="26" t="str">
        <f>LOWER(CONCATENATE(SUBSTITUTE(bittrex[[#This Row],[Column1.MarketName]],"-","")))</f>
        <v>btcrep</v>
      </c>
      <c r="P138" s="37">
        <f>bittrex[[#This Row],[Column1.Last]]</f>
        <v>5.1299600000000002E-3</v>
      </c>
    </row>
    <row r="139" spans="1:16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 s="29" t="str">
        <f>LOWER(CONCATENATE("bittrex:",SUBSTITUTE(bittrex[[#This Row],[Column1.MarketName]],"-","")))</f>
        <v>bittrex:btcrise</v>
      </c>
      <c r="O139" s="26" t="str">
        <f>LOWER(CONCATENATE(SUBSTITUTE(bittrex[[#This Row],[Column1.MarketName]],"-","")))</f>
        <v>btcrise</v>
      </c>
      <c r="P139" s="37">
        <f>bittrex[[#This Row],[Column1.Last]]</f>
        <v>8.1199999999999995E-5</v>
      </c>
    </row>
    <row r="140" spans="1:16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 s="29" t="str">
        <f>LOWER(CONCATENATE("bittrex:",SUBSTITUTE(bittrex[[#This Row],[Column1.MarketName]],"-","")))</f>
        <v>bittrex:btcrlc</v>
      </c>
      <c r="O140" s="26" t="str">
        <f>LOWER(CONCATENATE(SUBSTITUTE(bittrex[[#This Row],[Column1.MarketName]],"-","")))</f>
        <v>btcrlc</v>
      </c>
      <c r="P140" s="37">
        <f>bittrex[[#This Row],[Column1.Last]]</f>
        <v>1.315E-4</v>
      </c>
    </row>
    <row r="141" spans="1:16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 s="29" t="str">
        <f>LOWER(CONCATENATE("bittrex:",SUBSTITUTE(bittrex[[#This Row],[Column1.MarketName]],"-","")))</f>
        <v>bittrex:btcsafex</v>
      </c>
      <c r="O141" s="26" t="str">
        <f>LOWER(CONCATENATE(SUBSTITUTE(bittrex[[#This Row],[Column1.MarketName]],"-","")))</f>
        <v>btcsafex</v>
      </c>
      <c r="P141" s="37">
        <f>bittrex[[#This Row],[Column1.Last]]</f>
        <v>2.52E-6</v>
      </c>
    </row>
    <row r="142" spans="1:16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 s="29" t="str">
        <f>LOWER(CONCATENATE("bittrex:",SUBSTITUTE(bittrex[[#This Row],[Column1.MarketName]],"-","")))</f>
        <v>bittrex:btcsbd</v>
      </c>
      <c r="O142" s="26" t="str">
        <f>LOWER(CONCATENATE(SUBSTITUTE(bittrex[[#This Row],[Column1.MarketName]],"-","")))</f>
        <v>btcsbd</v>
      </c>
      <c r="P142" s="37">
        <f>bittrex[[#This Row],[Column1.Last]]</f>
        <v>2.2556E-4</v>
      </c>
    </row>
    <row r="143" spans="1:16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 s="29" t="str">
        <f>LOWER(CONCATENATE("bittrex:",SUBSTITUTE(bittrex[[#This Row],[Column1.MarketName]],"-","")))</f>
        <v>bittrex:btcsc</v>
      </c>
      <c r="O143" s="26" t="str">
        <f>LOWER(CONCATENATE(SUBSTITUTE(bittrex[[#This Row],[Column1.MarketName]],"-","")))</f>
        <v>btcsc</v>
      </c>
      <c r="P143" s="37">
        <f>bittrex[[#This Row],[Column1.Last]]</f>
        <v>1.6899999999999999E-6</v>
      </c>
    </row>
    <row r="144" spans="1:16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 s="29" t="str">
        <f>LOWER(CONCATENATE("bittrex:",SUBSTITUTE(bittrex[[#This Row],[Column1.MarketName]],"-","")))</f>
        <v>bittrex:btcseq</v>
      </c>
      <c r="O144" s="26" t="str">
        <f>LOWER(CONCATENATE(SUBSTITUTE(bittrex[[#This Row],[Column1.MarketName]],"-","")))</f>
        <v>btcseq</v>
      </c>
      <c r="P144" s="37">
        <f>bittrex[[#This Row],[Column1.Last]]</f>
        <v>3.7169999999999998E-5</v>
      </c>
    </row>
    <row r="145" spans="1:16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 s="29" t="str">
        <f>LOWER(CONCATENATE("bittrex:",SUBSTITUTE(bittrex[[#This Row],[Column1.MarketName]],"-","")))</f>
        <v>bittrex:btcshift</v>
      </c>
      <c r="O145" s="26" t="str">
        <f>LOWER(CONCATENATE(SUBSTITUTE(bittrex[[#This Row],[Column1.MarketName]],"-","")))</f>
        <v>btcshift</v>
      </c>
      <c r="P145" s="37">
        <f>bittrex[[#This Row],[Column1.Last]]</f>
        <v>3.4478999999999998E-4</v>
      </c>
    </row>
    <row r="146" spans="1:16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 s="29" t="str">
        <f>LOWER(CONCATENATE("bittrex:",SUBSTITUTE(bittrex[[#This Row],[Column1.MarketName]],"-","")))</f>
        <v>bittrex:btcsib</v>
      </c>
      <c r="O146" s="26" t="str">
        <f>LOWER(CONCATENATE(SUBSTITUTE(bittrex[[#This Row],[Column1.MarketName]],"-","")))</f>
        <v>btcsib</v>
      </c>
      <c r="P146" s="37">
        <f>bittrex[[#This Row],[Column1.Last]]</f>
        <v>2.9200999999999999E-4</v>
      </c>
    </row>
    <row r="147" spans="1:16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 s="29" t="str">
        <f>LOWER(CONCATENATE("bittrex:",SUBSTITUTE(bittrex[[#This Row],[Column1.MarketName]],"-","")))</f>
        <v>bittrex:btcslr</v>
      </c>
      <c r="O147" s="26" t="str">
        <f>LOWER(CONCATENATE(SUBSTITUTE(bittrex[[#This Row],[Column1.MarketName]],"-","")))</f>
        <v>btcslr</v>
      </c>
      <c r="P147" s="37">
        <f>bittrex[[#This Row],[Column1.Last]]</f>
        <v>4.333E-5</v>
      </c>
    </row>
    <row r="148" spans="1:16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 s="29" t="str">
        <f>LOWER(CONCATENATE("bittrex:",SUBSTITUTE(bittrex[[#This Row],[Column1.MarketName]],"-","")))</f>
        <v>bittrex:btcsls</v>
      </c>
      <c r="O148" s="26" t="str">
        <f>LOWER(CONCATENATE(SUBSTITUTE(bittrex[[#This Row],[Column1.MarketName]],"-","")))</f>
        <v>btcsls</v>
      </c>
      <c r="P148" s="37">
        <f>bittrex[[#This Row],[Column1.Last]]</f>
        <v>3.5480500000000001E-3</v>
      </c>
    </row>
    <row r="149" spans="1:16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 s="29" t="str">
        <f>LOWER(CONCATENATE("bittrex:",SUBSTITUTE(bittrex[[#This Row],[Column1.MarketName]],"-","")))</f>
        <v>bittrex:btcsngls</v>
      </c>
      <c r="O149" s="26" t="str">
        <f>LOWER(CONCATENATE(SUBSTITUTE(bittrex[[#This Row],[Column1.MarketName]],"-","")))</f>
        <v>btcsngls</v>
      </c>
      <c r="P149" s="37">
        <f>bittrex[[#This Row],[Column1.Last]]</f>
        <v>3.0450000000000002E-5</v>
      </c>
    </row>
    <row r="150" spans="1:16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 s="29" t="str">
        <f>LOWER(CONCATENATE("bittrex:",SUBSTITUTE(bittrex[[#This Row],[Column1.MarketName]],"-","")))</f>
        <v>bittrex:btcsnrg</v>
      </c>
      <c r="O150" s="26" t="str">
        <f>LOWER(CONCATENATE(SUBSTITUTE(bittrex[[#This Row],[Column1.MarketName]],"-","")))</f>
        <v>btcsnrg</v>
      </c>
      <c r="P150" s="37">
        <f>bittrex[[#This Row],[Column1.Last]]</f>
        <v>3.3960000000000001E-4</v>
      </c>
    </row>
    <row r="151" spans="1:16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 s="29" t="str">
        <f>LOWER(CONCATENATE("bittrex:",SUBSTITUTE(bittrex[[#This Row],[Column1.MarketName]],"-","")))</f>
        <v>bittrex:btcsnt</v>
      </c>
      <c r="O151" s="26" t="str">
        <f>LOWER(CONCATENATE(SUBSTITUTE(bittrex[[#This Row],[Column1.MarketName]],"-","")))</f>
        <v>btcsnt</v>
      </c>
      <c r="P151" s="37">
        <f>bittrex[[#This Row],[Column1.Last]]</f>
        <v>8.3100000000000001E-6</v>
      </c>
    </row>
    <row r="152" spans="1:16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 s="29" t="str">
        <f>LOWER(CONCATENATE("bittrex:",SUBSTITUTE(bittrex[[#This Row],[Column1.MarketName]],"-","")))</f>
        <v>bittrex:btcsphr</v>
      </c>
      <c r="O152" s="26" t="str">
        <f>LOWER(CONCATENATE(SUBSTITUTE(bittrex[[#This Row],[Column1.MarketName]],"-","")))</f>
        <v>btcsphr</v>
      </c>
      <c r="P152" s="37">
        <f>bittrex[[#This Row],[Column1.Last]]</f>
        <v>6.7500000000000004E-4</v>
      </c>
    </row>
    <row r="153" spans="1:16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 s="29" t="str">
        <f>LOWER(CONCATENATE("bittrex:",SUBSTITUTE(bittrex[[#This Row],[Column1.MarketName]],"-","")))</f>
        <v>bittrex:btcspr</v>
      </c>
      <c r="O153" s="26" t="str">
        <f>LOWER(CONCATENATE(SUBSTITUTE(bittrex[[#This Row],[Column1.MarketName]],"-","")))</f>
        <v>btcspr</v>
      </c>
      <c r="P153" s="37">
        <f>bittrex[[#This Row],[Column1.Last]]</f>
        <v>4.2299999999999998E-4</v>
      </c>
    </row>
    <row r="154" spans="1:16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 s="29" t="str">
        <f>LOWER(CONCATENATE("bittrex:",SUBSTITUTE(bittrex[[#This Row],[Column1.MarketName]],"-","")))</f>
        <v>bittrex:btcstart</v>
      </c>
      <c r="O154" s="26" t="str">
        <f>LOWER(CONCATENATE(SUBSTITUTE(bittrex[[#This Row],[Column1.MarketName]],"-","")))</f>
        <v>btcstart</v>
      </c>
      <c r="P154" s="37">
        <f>bittrex[[#This Row],[Column1.Last]]</f>
        <v>9.5100000000000004E-6</v>
      </c>
    </row>
    <row r="155" spans="1:16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 s="29" t="str">
        <f>LOWER(CONCATENATE("bittrex:",SUBSTITUTE(bittrex[[#This Row],[Column1.MarketName]],"-","")))</f>
        <v>bittrex:btcsteem</v>
      </c>
      <c r="O155" s="26" t="str">
        <f>LOWER(CONCATENATE(SUBSTITUTE(bittrex[[#This Row],[Column1.MarketName]],"-","")))</f>
        <v>btcsteem</v>
      </c>
      <c r="P155" s="37">
        <f>bittrex[[#This Row],[Column1.Last]]</f>
        <v>3.5409999999999999E-4</v>
      </c>
    </row>
    <row r="156" spans="1:16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 s="29" t="str">
        <f>LOWER(CONCATENATE("bittrex:",SUBSTITUTE(bittrex[[#This Row],[Column1.MarketName]],"-","")))</f>
        <v>bittrex:btcstorj</v>
      </c>
      <c r="O156" s="26" t="str">
        <f>LOWER(CONCATENATE(SUBSTITUTE(bittrex[[#This Row],[Column1.MarketName]],"-","")))</f>
        <v>btcstorj</v>
      </c>
      <c r="P156" s="37">
        <f>bittrex[[#This Row],[Column1.Last]]</f>
        <v>1.2999999999999999E-4</v>
      </c>
    </row>
    <row r="157" spans="1:16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 s="29" t="str">
        <f>LOWER(CONCATENATE("bittrex:",SUBSTITUTE(bittrex[[#This Row],[Column1.MarketName]],"-","")))</f>
        <v>bittrex:btcstrat</v>
      </c>
      <c r="O157" s="26" t="str">
        <f>LOWER(CONCATENATE(SUBSTITUTE(bittrex[[#This Row],[Column1.MarketName]],"-","")))</f>
        <v>btcstrat</v>
      </c>
      <c r="P157" s="37">
        <f>bittrex[[#This Row],[Column1.Last]]</f>
        <v>1.3240000000000001E-3</v>
      </c>
    </row>
    <row r="158" spans="1:16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 s="29" t="str">
        <f>LOWER(CONCATENATE("bittrex:",SUBSTITUTE(bittrex[[#This Row],[Column1.MarketName]],"-","")))</f>
        <v>bittrex:btcswift</v>
      </c>
      <c r="O158" s="26" t="str">
        <f>LOWER(CONCATENATE(SUBSTITUTE(bittrex[[#This Row],[Column1.MarketName]],"-","")))</f>
        <v>btcswift</v>
      </c>
      <c r="P158" s="37">
        <f>bittrex[[#This Row],[Column1.Last]]</f>
        <v>2.9E-4</v>
      </c>
    </row>
    <row r="159" spans="1:16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 s="29" t="str">
        <f>LOWER(CONCATENATE("bittrex:",SUBSTITUTE(bittrex[[#This Row],[Column1.MarketName]],"-","")))</f>
        <v>bittrex:btcswt</v>
      </c>
      <c r="O159" s="26" t="str">
        <f>LOWER(CONCATENATE(SUBSTITUTE(bittrex[[#This Row],[Column1.MarketName]],"-","")))</f>
        <v>btcswt</v>
      </c>
      <c r="P159" s="37">
        <f>bittrex[[#This Row],[Column1.Last]]</f>
        <v>3.8999999999999999E-4</v>
      </c>
    </row>
    <row r="160" spans="1:16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 s="29" t="str">
        <f>LOWER(CONCATENATE("bittrex:",SUBSTITUTE(bittrex[[#This Row],[Column1.MarketName]],"-","")))</f>
        <v>bittrex:btcsynx</v>
      </c>
      <c r="O160" s="26" t="str">
        <f>LOWER(CONCATENATE(SUBSTITUTE(bittrex[[#This Row],[Column1.MarketName]],"-","")))</f>
        <v>btcsynx</v>
      </c>
      <c r="P160" s="37">
        <f>bittrex[[#This Row],[Column1.Last]]</f>
        <v>4.3300000000000002E-5</v>
      </c>
    </row>
    <row r="161" spans="1:16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 s="29" t="str">
        <f>LOWER(CONCATENATE("bittrex:",SUBSTITUTE(bittrex[[#This Row],[Column1.MarketName]],"-","")))</f>
        <v>bittrex:btcsys</v>
      </c>
      <c r="O161" s="26" t="str">
        <f>LOWER(CONCATENATE(SUBSTITUTE(bittrex[[#This Row],[Column1.MarketName]],"-","")))</f>
        <v>btcsys</v>
      </c>
      <c r="P161" s="37">
        <f>bittrex[[#This Row],[Column1.Last]]</f>
        <v>6.1589999999999998E-5</v>
      </c>
    </row>
    <row r="162" spans="1:16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 s="29" t="str">
        <f>LOWER(CONCATENATE("bittrex:",SUBSTITUTE(bittrex[[#This Row],[Column1.MarketName]],"-","")))</f>
        <v>bittrex:btcthc</v>
      </c>
      <c r="O162" s="26" t="str">
        <f>LOWER(CONCATENATE(SUBSTITUTE(bittrex[[#This Row],[Column1.MarketName]],"-","")))</f>
        <v>btcthc</v>
      </c>
      <c r="P162" s="37">
        <f>bittrex[[#This Row],[Column1.Last]]</f>
        <v>2.3199999999999998E-6</v>
      </c>
    </row>
    <row r="163" spans="1:16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 s="29" t="str">
        <f>LOWER(CONCATENATE("bittrex:",SUBSTITUTE(bittrex[[#This Row],[Column1.MarketName]],"-","")))</f>
        <v>bittrex:btctime</v>
      </c>
      <c r="O163" s="26" t="str">
        <f>LOWER(CONCATENATE(SUBSTITUTE(bittrex[[#This Row],[Column1.MarketName]],"-","")))</f>
        <v>btctime</v>
      </c>
      <c r="P163" s="37">
        <f>bittrex[[#This Row],[Column1.Last]]</f>
        <v>4.8299900000000002E-3</v>
      </c>
    </row>
    <row r="164" spans="1:16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 s="29" t="str">
        <f>LOWER(CONCATENATE("bittrex:",SUBSTITUTE(bittrex[[#This Row],[Column1.MarketName]],"-","")))</f>
        <v>bittrex:btctkn</v>
      </c>
      <c r="O164" s="26" t="str">
        <f>LOWER(CONCATENATE(SUBSTITUTE(bittrex[[#This Row],[Column1.MarketName]],"-","")))</f>
        <v>btctkn</v>
      </c>
      <c r="P164" s="37">
        <f>bittrex[[#This Row],[Column1.Last]]</f>
        <v>3.5136E-4</v>
      </c>
    </row>
    <row r="165" spans="1:16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 s="29" t="str">
        <f>LOWER(CONCATENATE("bittrex:",SUBSTITUTE(bittrex[[#This Row],[Column1.MarketName]],"-","")))</f>
        <v>bittrex:btctks</v>
      </c>
      <c r="O165" s="26" t="str">
        <f>LOWER(CONCATENATE(SUBSTITUTE(bittrex[[#This Row],[Column1.MarketName]],"-","")))</f>
        <v>btctks</v>
      </c>
      <c r="P165" s="37">
        <f>bittrex[[#This Row],[Column1.Last]]</f>
        <v>4.9640000000000003E-4</v>
      </c>
    </row>
    <row r="166" spans="1:16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 s="29" t="str">
        <f>LOWER(CONCATENATE("bittrex:",SUBSTITUTE(bittrex[[#This Row],[Column1.MarketName]],"-","")))</f>
        <v>bittrex:btctrig</v>
      </c>
      <c r="O166" s="26" t="str">
        <f>LOWER(CONCATENATE(SUBSTITUTE(bittrex[[#This Row],[Column1.MarketName]],"-","")))</f>
        <v>btctrig</v>
      </c>
      <c r="P166" s="37">
        <f>bittrex[[#This Row],[Column1.Last]]</f>
        <v>2.24E-4</v>
      </c>
    </row>
    <row r="167" spans="1:16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 s="29" t="str">
        <f>LOWER(CONCATENATE("bittrex:",SUBSTITUTE(bittrex[[#This Row],[Column1.MarketName]],"-","")))</f>
        <v>bittrex:btctrst</v>
      </c>
      <c r="O167" s="26" t="str">
        <f>LOWER(CONCATENATE(SUBSTITUTE(bittrex[[#This Row],[Column1.MarketName]],"-","")))</f>
        <v>btctrst</v>
      </c>
      <c r="P167" s="37">
        <f>bittrex[[#This Row],[Column1.Last]]</f>
        <v>6.2700000000000006E-5</v>
      </c>
    </row>
    <row r="168" spans="1:16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 s="29" t="str">
        <f>LOWER(CONCATENATE("bittrex:",SUBSTITUTE(bittrex[[#This Row],[Column1.MarketName]],"-","")))</f>
        <v>bittrex:btctrust</v>
      </c>
      <c r="O168" s="26" t="str">
        <f>LOWER(CONCATENATE(SUBSTITUTE(bittrex[[#This Row],[Column1.MarketName]],"-","")))</f>
        <v>btctrust</v>
      </c>
      <c r="P168" s="37">
        <f>bittrex[[#This Row],[Column1.Last]]</f>
        <v>1.27E-5</v>
      </c>
    </row>
    <row r="169" spans="1:16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 s="29" t="str">
        <f>LOWER(CONCATENATE("bittrex:",SUBSTITUTE(bittrex[[#This Row],[Column1.MarketName]],"-","")))</f>
        <v>bittrex:btctx</v>
      </c>
      <c r="O169" s="26" t="str">
        <f>LOWER(CONCATENATE(SUBSTITUTE(bittrex[[#This Row],[Column1.MarketName]],"-","")))</f>
        <v>btctx</v>
      </c>
      <c r="P169" s="37">
        <f>bittrex[[#This Row],[Column1.Last]]</f>
        <v>8.9649999999999997E-5</v>
      </c>
    </row>
    <row r="170" spans="1:16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 s="29" t="str">
        <f>LOWER(CONCATENATE("bittrex:",SUBSTITUTE(bittrex[[#This Row],[Column1.MarketName]],"-","")))</f>
        <v>bittrex:btcubq</v>
      </c>
      <c r="O170" s="26" t="str">
        <f>LOWER(CONCATENATE(SUBSTITUTE(bittrex[[#This Row],[Column1.MarketName]],"-","")))</f>
        <v>btcubq</v>
      </c>
      <c r="P170" s="37">
        <f>bittrex[[#This Row],[Column1.Last]]</f>
        <v>5.3748999999999995E-4</v>
      </c>
    </row>
    <row r="171" spans="1:16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 s="29" t="str">
        <f>LOWER(CONCATENATE("bittrex:",SUBSTITUTE(bittrex[[#This Row],[Column1.MarketName]],"-","")))</f>
        <v>bittrex:btcunb</v>
      </c>
      <c r="O171" s="26" t="str">
        <f>LOWER(CONCATENATE(SUBSTITUTE(bittrex[[#This Row],[Column1.MarketName]],"-","")))</f>
        <v>btcunb</v>
      </c>
      <c r="P171" s="37">
        <f>bittrex[[#This Row],[Column1.Last]]</f>
        <v>5.9589999999999997E-5</v>
      </c>
    </row>
    <row r="172" spans="1:16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 s="29" t="str">
        <f>LOWER(CONCATENATE("bittrex:",SUBSTITUTE(bittrex[[#This Row],[Column1.MarketName]],"-","")))</f>
        <v>bittrex:btcuno</v>
      </c>
      <c r="O172" s="26" t="str">
        <f>LOWER(CONCATENATE(SUBSTITUTE(bittrex[[#This Row],[Column1.MarketName]],"-","")))</f>
        <v>btcuno</v>
      </c>
      <c r="P172" s="37">
        <f>bittrex[[#This Row],[Column1.Last]]</f>
        <v>1.987152E-2</v>
      </c>
    </row>
    <row r="173" spans="1:16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 s="29" t="str">
        <f>LOWER(CONCATENATE("bittrex:",SUBSTITUTE(bittrex[[#This Row],[Column1.MarketName]],"-","")))</f>
        <v>bittrex:btcvia</v>
      </c>
      <c r="O173" s="26" t="str">
        <f>LOWER(CONCATENATE(SUBSTITUTE(bittrex[[#This Row],[Column1.MarketName]],"-","")))</f>
        <v>btcvia</v>
      </c>
      <c r="P173" s="37">
        <f>bittrex[[#This Row],[Column1.Last]]</f>
        <v>3.0180000000000002E-4</v>
      </c>
    </row>
    <row r="174" spans="1:16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 s="29" t="str">
        <f>LOWER(CONCATENATE("bittrex:",SUBSTITUTE(bittrex[[#This Row],[Column1.MarketName]],"-","")))</f>
        <v>bittrex:btcvox</v>
      </c>
      <c r="O174" s="26" t="str">
        <f>LOWER(CONCATENATE(SUBSTITUTE(bittrex[[#This Row],[Column1.MarketName]],"-","")))</f>
        <v>btcvox</v>
      </c>
      <c r="P174" s="37">
        <f>bittrex[[#This Row],[Column1.Last]]</f>
        <v>1.2459999999999999E-5</v>
      </c>
    </row>
    <row r="175" spans="1:16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 s="29" t="str">
        <f>LOWER(CONCATENATE("bittrex:",SUBSTITUTE(bittrex[[#This Row],[Column1.MarketName]],"-","")))</f>
        <v>bittrex:btcvrc</v>
      </c>
      <c r="O175" s="26" t="str">
        <f>LOWER(CONCATENATE(SUBSTITUTE(bittrex[[#This Row],[Column1.MarketName]],"-","")))</f>
        <v>btcvrc</v>
      </c>
      <c r="P175" s="37">
        <f>bittrex[[#This Row],[Column1.Last]]</f>
        <v>8.8999999999999995E-5</v>
      </c>
    </row>
    <row r="176" spans="1:16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 s="29" t="str">
        <f>LOWER(CONCATENATE("bittrex:",SUBSTITUTE(bittrex[[#This Row],[Column1.MarketName]],"-","")))</f>
        <v>bittrex:btcvrm</v>
      </c>
      <c r="O176" s="26" t="str">
        <f>LOWER(CONCATENATE(SUBSTITUTE(bittrex[[#This Row],[Column1.MarketName]],"-","")))</f>
        <v>btcvrm</v>
      </c>
      <c r="P176" s="37">
        <f>bittrex[[#This Row],[Column1.Last]]</f>
        <v>5.2300000000000003E-4</v>
      </c>
    </row>
    <row r="177" spans="1:16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 s="29" t="str">
        <f>LOWER(CONCATENATE("bittrex:",SUBSTITUTE(bittrex[[#This Row],[Column1.MarketName]],"-","")))</f>
        <v>bittrex:btcvtc</v>
      </c>
      <c r="O177" s="26" t="str">
        <f>LOWER(CONCATENATE(SUBSTITUTE(bittrex[[#This Row],[Column1.MarketName]],"-","")))</f>
        <v>btcvtc</v>
      </c>
      <c r="P177" s="37">
        <f>bittrex[[#This Row],[Column1.Last]]</f>
        <v>2.0704999999999999E-4</v>
      </c>
    </row>
    <row r="178" spans="1:16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 s="29" t="str">
        <f>LOWER(CONCATENATE("bittrex:",SUBSTITUTE(bittrex[[#This Row],[Column1.MarketName]],"-","")))</f>
        <v>bittrex:btcvtr</v>
      </c>
      <c r="O178" s="26" t="str">
        <f>LOWER(CONCATENATE(SUBSTITUTE(bittrex[[#This Row],[Column1.MarketName]],"-","")))</f>
        <v>btcvtr</v>
      </c>
      <c r="P178" s="37">
        <f>bittrex[[#This Row],[Column1.Last]]</f>
        <v>4.685E-5</v>
      </c>
    </row>
    <row r="179" spans="1:16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 s="29" t="str">
        <f>LOWER(CONCATENATE("bittrex:",SUBSTITUTE(bittrex[[#This Row],[Column1.MarketName]],"-","")))</f>
        <v>bittrex:btcwaves</v>
      </c>
      <c r="O179" s="26" t="str">
        <f>LOWER(CONCATENATE(SUBSTITUTE(bittrex[[#This Row],[Column1.MarketName]],"-","")))</f>
        <v>btcwaves</v>
      </c>
      <c r="P179" s="37">
        <f>bittrex[[#This Row],[Column1.Last]]</f>
        <v>1.08314E-3</v>
      </c>
    </row>
    <row r="180" spans="1:16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 s="29" t="str">
        <f>LOWER(CONCATENATE("bittrex:",SUBSTITUTE(bittrex[[#This Row],[Column1.MarketName]],"-","")))</f>
        <v>bittrex:btcwings</v>
      </c>
      <c r="O180" s="26" t="str">
        <f>LOWER(CONCATENATE(SUBSTITUTE(bittrex[[#This Row],[Column1.MarketName]],"-","")))</f>
        <v>btcwings</v>
      </c>
      <c r="P180" s="37">
        <f>bittrex[[#This Row],[Column1.Last]]</f>
        <v>1.5421E-4</v>
      </c>
    </row>
    <row r="181" spans="1:16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 s="29" t="str">
        <f>LOWER(CONCATENATE("bittrex:",SUBSTITUTE(bittrex[[#This Row],[Column1.MarketName]],"-","")))</f>
        <v>bittrex:btcxaur</v>
      </c>
      <c r="O181" s="26" t="str">
        <f>LOWER(CONCATENATE(SUBSTITUTE(bittrex[[#This Row],[Column1.MarketName]],"-","")))</f>
        <v>btcxaur</v>
      </c>
      <c r="P181" s="37">
        <f>bittrex[[#This Row],[Column1.Last]]</f>
        <v>3.9270000000000002E-5</v>
      </c>
    </row>
    <row r="182" spans="1:16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 s="29" t="str">
        <f>LOWER(CONCATENATE("bittrex:",SUBSTITUTE(bittrex[[#This Row],[Column1.MarketName]],"-","")))</f>
        <v>bittrex:btcxbb</v>
      </c>
      <c r="O182" s="26" t="str">
        <f>LOWER(CONCATENATE(SUBSTITUTE(bittrex[[#This Row],[Column1.MarketName]],"-","")))</f>
        <v>btcxbb</v>
      </c>
      <c r="P182" s="37">
        <f>bittrex[[#This Row],[Column1.Last]]</f>
        <v>5.605E-5</v>
      </c>
    </row>
    <row r="183" spans="1:16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 s="29" t="str">
        <f>LOWER(CONCATENATE("bittrex:",SUBSTITUTE(bittrex[[#This Row],[Column1.MarketName]],"-","")))</f>
        <v>bittrex:btcxcp</v>
      </c>
      <c r="O183" s="26" t="str">
        <f>LOWER(CONCATENATE(SUBSTITUTE(bittrex[[#This Row],[Column1.MarketName]],"-","")))</f>
        <v>btcxcp</v>
      </c>
      <c r="P183" s="37">
        <f>bittrex[[#This Row],[Column1.Last]]</f>
        <v>2.8997200000000002E-3</v>
      </c>
    </row>
    <row r="184" spans="1:16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 s="29" t="str">
        <f>LOWER(CONCATENATE("bittrex:",SUBSTITUTE(bittrex[[#This Row],[Column1.MarketName]],"-","")))</f>
        <v>bittrex:btcxdn</v>
      </c>
      <c r="O184" s="26" t="str">
        <f>LOWER(CONCATENATE(SUBSTITUTE(bittrex[[#This Row],[Column1.MarketName]],"-","")))</f>
        <v>btcxdn</v>
      </c>
      <c r="P184" s="37">
        <f>bittrex[[#This Row],[Column1.Last]]</f>
        <v>5.6000000000000004E-7</v>
      </c>
    </row>
    <row r="185" spans="1:16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 s="29" t="str">
        <f>LOWER(CONCATENATE("bittrex:",SUBSTITUTE(bittrex[[#This Row],[Column1.MarketName]],"-","")))</f>
        <v>bittrex:btcxel</v>
      </c>
      <c r="O185" s="26" t="str">
        <f>LOWER(CONCATENATE(SUBSTITUTE(bittrex[[#This Row],[Column1.MarketName]],"-","")))</f>
        <v>btcxel</v>
      </c>
      <c r="P185" s="37">
        <f>bittrex[[#This Row],[Column1.Last]]</f>
        <v>1.0998E-4</v>
      </c>
    </row>
    <row r="186" spans="1:16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 s="29" t="str">
        <f>LOWER(CONCATENATE("bittrex:",SUBSTITUTE(bittrex[[#This Row],[Column1.MarketName]],"-","")))</f>
        <v>bittrex:btcxem</v>
      </c>
      <c r="O186" s="26" t="str">
        <f>LOWER(CONCATENATE(SUBSTITUTE(bittrex[[#This Row],[Column1.MarketName]],"-","")))</f>
        <v>btcxem</v>
      </c>
      <c r="P186" s="37">
        <f>bittrex[[#This Row],[Column1.Last]]</f>
        <v>6.402E-5</v>
      </c>
    </row>
    <row r="187" spans="1:16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 s="29" t="str">
        <f>LOWER(CONCATENATE("bittrex:",SUBSTITUTE(bittrex[[#This Row],[Column1.MarketName]],"-","")))</f>
        <v>bittrex:btcxlm</v>
      </c>
      <c r="O187" s="26" t="str">
        <f>LOWER(CONCATENATE(SUBSTITUTE(bittrex[[#This Row],[Column1.MarketName]],"-","")))</f>
        <v>btcxlm</v>
      </c>
      <c r="P187" s="37">
        <f>bittrex[[#This Row],[Column1.Last]]</f>
        <v>4.3699999999999997E-6</v>
      </c>
    </row>
    <row r="188" spans="1:16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 s="29" t="str">
        <f>LOWER(CONCATENATE("bittrex:",SUBSTITUTE(bittrex[[#This Row],[Column1.MarketName]],"-","")))</f>
        <v>bittrex:btcxmg</v>
      </c>
      <c r="O188" s="26" t="str">
        <f>LOWER(CONCATENATE(SUBSTITUTE(bittrex[[#This Row],[Column1.MarketName]],"-","")))</f>
        <v>btcxmg</v>
      </c>
      <c r="P188" s="37">
        <f>bittrex[[#This Row],[Column1.Last]]</f>
        <v>5.0939999999999997E-5</v>
      </c>
    </row>
    <row r="189" spans="1:16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 s="29" t="str">
        <f>LOWER(CONCATENATE("bittrex:",SUBSTITUTE(bittrex[[#This Row],[Column1.MarketName]],"-","")))</f>
        <v>bittrex:btcxmr</v>
      </c>
      <c r="O189" s="26" t="str">
        <f>LOWER(CONCATENATE(SUBSTITUTE(bittrex[[#This Row],[Column1.MarketName]],"-","")))</f>
        <v>btcxmr</v>
      </c>
      <c r="P189" s="37">
        <f>bittrex[[#This Row],[Column1.Last]]</f>
        <v>2.5976349999999999E-2</v>
      </c>
    </row>
    <row r="190" spans="1:16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 s="29" t="str">
        <f>LOWER(CONCATENATE("bittrex:",SUBSTITUTE(bittrex[[#This Row],[Column1.MarketName]],"-","")))</f>
        <v>bittrex:btcxmy</v>
      </c>
      <c r="O190" s="26" t="str">
        <f>LOWER(CONCATENATE(SUBSTITUTE(bittrex[[#This Row],[Column1.MarketName]],"-","")))</f>
        <v>btcxmy</v>
      </c>
      <c r="P190" s="37">
        <f>bittrex[[#This Row],[Column1.Last]]</f>
        <v>5.9999999999999997E-7</v>
      </c>
    </row>
    <row r="191" spans="1:16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 s="29" t="str">
        <f>LOWER(CONCATENATE("bittrex:",SUBSTITUTE(bittrex[[#This Row],[Column1.MarketName]],"-","")))</f>
        <v>bittrex:btcxrp</v>
      </c>
      <c r="O191" s="26" t="str">
        <f>LOWER(CONCATENATE(SUBSTITUTE(bittrex[[#This Row],[Column1.MarketName]],"-","")))</f>
        <v>btcxrp</v>
      </c>
      <c r="P191" s="37">
        <f>bittrex[[#This Row],[Column1.Last]]</f>
        <v>4.9150000000000002E-5</v>
      </c>
    </row>
    <row r="192" spans="1:16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 s="29" t="str">
        <f>LOWER(CONCATENATE("bittrex:",SUBSTITUTE(bittrex[[#This Row],[Column1.MarketName]],"-","")))</f>
        <v>bittrex:btcxst</v>
      </c>
      <c r="O192" s="26" t="str">
        <f>LOWER(CONCATENATE(SUBSTITUTE(bittrex[[#This Row],[Column1.MarketName]],"-","")))</f>
        <v>btcxst</v>
      </c>
      <c r="P192" s="37">
        <f>bittrex[[#This Row],[Column1.Last]]</f>
        <v>3.6069999999999999E-5</v>
      </c>
    </row>
    <row r="193" spans="1:16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 s="29" t="str">
        <f>LOWER(CONCATENATE("bittrex:",SUBSTITUTE(bittrex[[#This Row],[Column1.MarketName]],"-","")))</f>
        <v>bittrex:btcxvc</v>
      </c>
      <c r="O193" s="26" t="str">
        <f>LOWER(CONCATENATE(SUBSTITUTE(bittrex[[#This Row],[Column1.MarketName]],"-","")))</f>
        <v>btcxvc</v>
      </c>
      <c r="P193" s="37">
        <f>bittrex[[#This Row],[Column1.Last]]</f>
        <v>1.0787E-4</v>
      </c>
    </row>
    <row r="194" spans="1:16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 s="29" t="str">
        <f>LOWER(CONCATENATE("bittrex:",SUBSTITUTE(bittrex[[#This Row],[Column1.MarketName]],"-","")))</f>
        <v>bittrex:btcxvg</v>
      </c>
      <c r="O194" s="26" t="str">
        <f>LOWER(CONCATENATE(SUBSTITUTE(bittrex[[#This Row],[Column1.MarketName]],"-","")))</f>
        <v>btcxvg</v>
      </c>
      <c r="P194" s="37">
        <f>bittrex[[#This Row],[Column1.Last]]</f>
        <v>1.6199999999999999E-6</v>
      </c>
    </row>
    <row r="195" spans="1:16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 s="29" t="str">
        <f>LOWER(CONCATENATE("bittrex:",SUBSTITUTE(bittrex[[#This Row],[Column1.MarketName]],"-","")))</f>
        <v>bittrex:btcxwc</v>
      </c>
      <c r="O195" s="26" t="str">
        <f>LOWER(CONCATENATE(SUBSTITUTE(bittrex[[#This Row],[Column1.MarketName]],"-","")))</f>
        <v>btcxwc</v>
      </c>
      <c r="P195" s="37">
        <f>bittrex[[#This Row],[Column1.Last]]</f>
        <v>3.0000000000000001E-6</v>
      </c>
    </row>
    <row r="196" spans="1:16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 s="29" t="str">
        <f>LOWER(CONCATENATE("bittrex:",SUBSTITUTE(bittrex[[#This Row],[Column1.MarketName]],"-","")))</f>
        <v>bittrex:btcxzc</v>
      </c>
      <c r="O196" s="26" t="str">
        <f>LOWER(CONCATENATE(SUBSTITUTE(bittrex[[#This Row],[Column1.MarketName]],"-","")))</f>
        <v>btcxzc</v>
      </c>
      <c r="P196" s="37">
        <f>bittrex[[#This Row],[Column1.Last]]</f>
        <v>2.4677599999999998E-3</v>
      </c>
    </row>
    <row r="197" spans="1:16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 s="29" t="str">
        <f>LOWER(CONCATENATE("bittrex:",SUBSTITUTE(bittrex[[#This Row],[Column1.MarketName]],"-","")))</f>
        <v>bittrex:btczcl</v>
      </c>
      <c r="O197" s="26" t="str">
        <f>LOWER(CONCATENATE(SUBSTITUTE(bittrex[[#This Row],[Column1.MarketName]],"-","")))</f>
        <v>btczcl</v>
      </c>
      <c r="P197" s="37">
        <f>bittrex[[#This Row],[Column1.Last]]</f>
        <v>4.4611E-4</v>
      </c>
    </row>
    <row r="198" spans="1:16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 s="29" t="str">
        <f>LOWER(CONCATENATE("bittrex:",SUBSTITUTE(bittrex[[#This Row],[Column1.MarketName]],"-","")))</f>
        <v>bittrex:btczec</v>
      </c>
      <c r="O198" s="26" t="str">
        <f>LOWER(CONCATENATE(SUBSTITUTE(bittrex[[#This Row],[Column1.MarketName]],"-","")))</f>
        <v>btczec</v>
      </c>
      <c r="P198" s="37">
        <f>bittrex[[#This Row],[Column1.Last]]</f>
        <v>5.2249999999999998E-2</v>
      </c>
    </row>
    <row r="199" spans="1:16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 s="29" t="str">
        <f>LOWER(CONCATENATE("bittrex:",SUBSTITUTE(bittrex[[#This Row],[Column1.MarketName]],"-","")))</f>
        <v>bittrex:btczen</v>
      </c>
      <c r="O199" s="26" t="str">
        <f>LOWER(CONCATENATE(SUBSTITUTE(bittrex[[#This Row],[Column1.MarketName]],"-","")))</f>
        <v>btczen</v>
      </c>
      <c r="P199" s="37">
        <f>bittrex[[#This Row],[Column1.Last]]</f>
        <v>2.1780800000000002E-3</v>
      </c>
    </row>
    <row r="200" spans="1:16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 s="29" t="str">
        <f>LOWER(CONCATENATE("bittrex:",SUBSTITUTE(bittrex[[#This Row],[Column1.MarketName]],"-","")))</f>
        <v>bittrex:eth1st</v>
      </c>
      <c r="O200" s="26" t="str">
        <f>LOWER(CONCATENATE(SUBSTITUTE(bittrex[[#This Row],[Column1.MarketName]],"-","")))</f>
        <v>eth1st</v>
      </c>
      <c r="P200" s="37">
        <f>bittrex[[#This Row],[Column1.Last]]</f>
        <v>1.28023E-3</v>
      </c>
    </row>
    <row r="201" spans="1:16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 s="29" t="str">
        <f>LOWER(CONCATENATE("bittrex:",SUBSTITUTE(bittrex[[#This Row],[Column1.MarketName]],"-","")))</f>
        <v>bittrex:ethadt</v>
      </c>
      <c r="O201" s="26" t="str">
        <f>LOWER(CONCATENATE(SUBSTITUTE(bittrex[[#This Row],[Column1.MarketName]],"-","")))</f>
        <v>ethadt</v>
      </c>
      <c r="P201" s="37">
        <f>bittrex[[#This Row],[Column1.Last]]</f>
        <v>1.4731999999999999E-4</v>
      </c>
    </row>
    <row r="202" spans="1:16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 s="29" t="str">
        <f>LOWER(CONCATENATE("bittrex:",SUBSTITUTE(bittrex[[#This Row],[Column1.MarketName]],"-","")))</f>
        <v>bittrex:ethadx</v>
      </c>
      <c r="O202" s="26" t="str">
        <f>LOWER(CONCATENATE(SUBSTITUTE(bittrex[[#This Row],[Column1.MarketName]],"-","")))</f>
        <v>ethadx</v>
      </c>
      <c r="P202" s="37">
        <f>bittrex[[#This Row],[Column1.Last]]</f>
        <v>2.9451999999999998E-3</v>
      </c>
    </row>
    <row r="203" spans="1:16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 s="29" t="str">
        <f>LOWER(CONCATENATE("bittrex:",SUBSTITUTE(bittrex[[#This Row],[Column1.MarketName]],"-","")))</f>
        <v>bittrex:ethant</v>
      </c>
      <c r="O203" s="26" t="str">
        <f>LOWER(CONCATENATE(SUBSTITUTE(bittrex[[#This Row],[Column1.MarketName]],"-","")))</f>
        <v>ethant</v>
      </c>
      <c r="P203" s="37">
        <f>bittrex[[#This Row],[Column1.Last]]</f>
        <v>6.7561499999999998E-3</v>
      </c>
    </row>
    <row r="204" spans="1:16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 s="29" t="str">
        <f>LOWER(CONCATENATE("bittrex:",SUBSTITUTE(bittrex[[#This Row],[Column1.MarketName]],"-","")))</f>
        <v>bittrex:ethbat</v>
      </c>
      <c r="O204" s="26" t="str">
        <f>LOWER(CONCATENATE(SUBSTITUTE(bittrex[[#This Row],[Column1.MarketName]],"-","")))</f>
        <v>ethbat</v>
      </c>
      <c r="P204" s="37">
        <f>bittrex[[#This Row],[Column1.Last]]</f>
        <v>6.7995000000000002E-4</v>
      </c>
    </row>
    <row r="205" spans="1:16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 s="29" t="str">
        <f>LOWER(CONCATENATE("bittrex:",SUBSTITUTE(bittrex[[#This Row],[Column1.MarketName]],"-","")))</f>
        <v>bittrex:ethbcc</v>
      </c>
      <c r="O205" s="26" t="str">
        <f>LOWER(CONCATENATE(SUBSTITUTE(bittrex[[#This Row],[Column1.MarketName]],"-","")))</f>
        <v>ethbcc</v>
      </c>
      <c r="P205" s="37">
        <f>bittrex[[#This Row],[Column1.Last]]</f>
        <v>2.1100545199999998</v>
      </c>
    </row>
    <row r="206" spans="1:16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 s="29" t="str">
        <f>LOWER(CONCATENATE("bittrex:",SUBSTITUTE(bittrex[[#This Row],[Column1.MarketName]],"-","")))</f>
        <v>bittrex:ethbnt</v>
      </c>
      <c r="O206" s="26" t="str">
        <f>LOWER(CONCATENATE(SUBSTITUTE(bittrex[[#This Row],[Column1.MarketName]],"-","")))</f>
        <v>ethbnt</v>
      </c>
      <c r="P206" s="37">
        <f>bittrex[[#This Row],[Column1.Last]]</f>
        <v>8.0293199999999995E-3</v>
      </c>
    </row>
    <row r="207" spans="1:16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 s="29" t="str">
        <f>LOWER(CONCATENATE("bittrex:",SUBSTITUTE(bittrex[[#This Row],[Column1.MarketName]],"-","")))</f>
        <v>bittrex:ethbts</v>
      </c>
      <c r="O207" s="26" t="str">
        <f>LOWER(CONCATENATE(SUBSTITUTE(bittrex[[#This Row],[Column1.MarketName]],"-","")))</f>
        <v>ethbts</v>
      </c>
      <c r="P207" s="37">
        <f>bittrex[[#This Row],[Column1.Last]]</f>
        <v>4.6000000000000001E-4</v>
      </c>
    </row>
    <row r="208" spans="1:16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 s="29" t="str">
        <f>LOWER(CONCATENATE("bittrex:",SUBSTITUTE(bittrex[[#This Row],[Column1.MarketName]],"-","")))</f>
        <v>bittrex:ethcfi</v>
      </c>
      <c r="O208" s="26" t="str">
        <f>LOWER(CONCATENATE(SUBSTITUTE(bittrex[[#This Row],[Column1.MarketName]],"-","")))</f>
        <v>ethcfi</v>
      </c>
      <c r="P208" s="37">
        <f>bittrex[[#This Row],[Column1.Last]]</f>
        <v>5.1188999999999998E-4</v>
      </c>
    </row>
    <row r="209" spans="1:16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 s="29" t="str">
        <f>LOWER(CONCATENATE("bittrex:",SUBSTITUTE(bittrex[[#This Row],[Column1.MarketName]],"-","")))</f>
        <v>bittrex:ethcrb</v>
      </c>
      <c r="O209" s="26" t="str">
        <f>LOWER(CONCATENATE(SUBSTITUTE(bittrex[[#This Row],[Column1.MarketName]],"-","")))</f>
        <v>ethcrb</v>
      </c>
      <c r="P209" s="37">
        <f>bittrex[[#This Row],[Column1.Last]]</f>
        <v>2.2942499999999998E-3</v>
      </c>
    </row>
    <row r="210" spans="1:16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 s="29" t="str">
        <f>LOWER(CONCATENATE("bittrex:",SUBSTITUTE(bittrex[[#This Row],[Column1.MarketName]],"-","")))</f>
        <v>bittrex:ethcvc</v>
      </c>
      <c r="O210" s="26" t="str">
        <f>LOWER(CONCATENATE(SUBSTITUTE(bittrex[[#This Row],[Column1.MarketName]],"-","")))</f>
        <v>ethcvc</v>
      </c>
      <c r="P210" s="37">
        <f>bittrex[[#This Row],[Column1.Last]]</f>
        <v>1.2999999999999999E-3</v>
      </c>
    </row>
    <row r="211" spans="1:16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 s="29" t="str">
        <f>LOWER(CONCATENATE("bittrex:",SUBSTITUTE(bittrex[[#This Row],[Column1.MarketName]],"-","")))</f>
        <v>bittrex:ethdash</v>
      </c>
      <c r="O211" s="26" t="str">
        <f>LOWER(CONCATENATE(SUBSTITUTE(bittrex[[#This Row],[Column1.MarketName]],"-","")))</f>
        <v>ethdash</v>
      </c>
      <c r="P211" s="37">
        <f>bittrex[[#This Row],[Column1.Last]]</f>
        <v>1.03647501</v>
      </c>
    </row>
    <row r="212" spans="1:16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 s="29" t="str">
        <f>LOWER(CONCATENATE("bittrex:",SUBSTITUTE(bittrex[[#This Row],[Column1.MarketName]],"-","")))</f>
        <v>bittrex:ethdgb</v>
      </c>
      <c r="O212" s="26" t="str">
        <f>LOWER(CONCATENATE(SUBSTITUTE(bittrex[[#This Row],[Column1.MarketName]],"-","")))</f>
        <v>ethdgb</v>
      </c>
      <c r="P212" s="37">
        <f>bittrex[[#This Row],[Column1.Last]]</f>
        <v>5.5080000000000001E-5</v>
      </c>
    </row>
    <row r="213" spans="1:16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 s="29" t="str">
        <f>LOWER(CONCATENATE("bittrex:",SUBSTITUTE(bittrex[[#This Row],[Column1.MarketName]],"-","")))</f>
        <v>bittrex:ethdgd</v>
      </c>
      <c r="O213" s="26" t="str">
        <f>LOWER(CONCATENATE(SUBSTITUTE(bittrex[[#This Row],[Column1.MarketName]],"-","")))</f>
        <v>ethdgd</v>
      </c>
      <c r="P213" s="37">
        <f>bittrex[[#This Row],[Column1.Last]]</f>
        <v>0.26832450000000002</v>
      </c>
    </row>
    <row r="214" spans="1:16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 s="29" t="str">
        <f>LOWER(CONCATENATE("bittrex:",SUBSTITUTE(bittrex[[#This Row],[Column1.MarketName]],"-","")))</f>
        <v>bittrex:ethetc</v>
      </c>
      <c r="O214" s="26" t="str">
        <f>LOWER(CONCATENATE(SUBSTITUTE(bittrex[[#This Row],[Column1.MarketName]],"-","")))</f>
        <v>ethetc</v>
      </c>
      <c r="P214" s="37">
        <f>bittrex[[#This Row],[Column1.Last]]</f>
        <v>5.6670989999999997E-2</v>
      </c>
    </row>
    <row r="215" spans="1:16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 s="29" t="str">
        <f>LOWER(CONCATENATE("bittrex:",SUBSTITUTE(bittrex[[#This Row],[Column1.MarketName]],"-","")))</f>
        <v>bittrex:ethfct</v>
      </c>
      <c r="O215" s="26" t="str">
        <f>LOWER(CONCATENATE(SUBSTITUTE(bittrex[[#This Row],[Column1.MarketName]],"-","")))</f>
        <v>ethfct</v>
      </c>
      <c r="P215" s="37">
        <f>bittrex[[#This Row],[Column1.Last]]</f>
        <v>0.08</v>
      </c>
    </row>
    <row r="216" spans="1:16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 s="29" t="str">
        <f>LOWER(CONCATENATE("bittrex:",SUBSTITUTE(bittrex[[#This Row],[Column1.MarketName]],"-","")))</f>
        <v>bittrex:ethfun</v>
      </c>
      <c r="O216" s="26" t="str">
        <f>LOWER(CONCATENATE(SUBSTITUTE(bittrex[[#This Row],[Column1.MarketName]],"-","")))</f>
        <v>ethfun</v>
      </c>
      <c r="P216" s="37">
        <f>bittrex[[#This Row],[Column1.Last]]</f>
        <v>8.0000000000000007E-5</v>
      </c>
    </row>
    <row r="217" spans="1:16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 s="29" t="str">
        <f>LOWER(CONCATENATE("bittrex:",SUBSTITUTE(bittrex[[#This Row],[Column1.MarketName]],"-","")))</f>
        <v>bittrex:ethgno</v>
      </c>
      <c r="O217" s="26" t="str">
        <f>LOWER(CONCATENATE(SUBSTITUTE(bittrex[[#This Row],[Column1.MarketName]],"-","")))</f>
        <v>ethgno</v>
      </c>
      <c r="P217" s="37">
        <f>bittrex[[#This Row],[Column1.Last]]</f>
        <v>0.44899798000000002</v>
      </c>
    </row>
    <row r="218" spans="1:16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 s="29" t="str">
        <f>LOWER(CONCATENATE("bittrex:",SUBSTITUTE(bittrex[[#This Row],[Column1.MarketName]],"-","")))</f>
        <v>bittrex:ethgnt</v>
      </c>
      <c r="O218" s="26" t="str">
        <f>LOWER(CONCATENATE(SUBSTITUTE(bittrex[[#This Row],[Column1.MarketName]],"-","")))</f>
        <v>ethgnt</v>
      </c>
      <c r="P218" s="37">
        <f>bittrex[[#This Row],[Column1.Last]]</f>
        <v>1.5099899999999999E-3</v>
      </c>
    </row>
    <row r="219" spans="1:16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 s="29" t="str">
        <f>LOWER(CONCATENATE("bittrex:",SUBSTITUTE(bittrex[[#This Row],[Column1.MarketName]],"-","")))</f>
        <v>bittrex:ethgup</v>
      </c>
      <c r="O219" s="26" t="str">
        <f>LOWER(CONCATENATE(SUBSTITUTE(bittrex[[#This Row],[Column1.MarketName]],"-","")))</f>
        <v>ethgup</v>
      </c>
      <c r="P219" s="37">
        <f>bittrex[[#This Row],[Column1.Last]]</f>
        <v>6.6144999999999995E-4</v>
      </c>
    </row>
    <row r="220" spans="1:16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 s="29" t="str">
        <f>LOWER(CONCATENATE("bittrex:",SUBSTITUTE(bittrex[[#This Row],[Column1.MarketName]],"-","")))</f>
        <v>bittrex:ethhmq</v>
      </c>
      <c r="O220" s="26" t="str">
        <f>LOWER(CONCATENATE(SUBSTITUTE(bittrex[[#This Row],[Column1.MarketName]],"-","")))</f>
        <v>ethhmq</v>
      </c>
      <c r="P220" s="37">
        <f>bittrex[[#This Row],[Column1.Last]]</f>
        <v>3.7278000000000002E-4</v>
      </c>
    </row>
    <row r="221" spans="1:16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 s="29" t="str">
        <f>LOWER(CONCATENATE("bittrex:",SUBSTITUTE(bittrex[[#This Row],[Column1.MarketName]],"-","")))</f>
        <v>bittrex:ethlgd</v>
      </c>
      <c r="O221" s="26" t="str">
        <f>LOWER(CONCATENATE(SUBSTITUTE(bittrex[[#This Row],[Column1.MarketName]],"-","")))</f>
        <v>ethlgd</v>
      </c>
      <c r="P221" s="37">
        <f>bittrex[[#This Row],[Column1.Last]]</f>
        <v>4.9383200000000004E-3</v>
      </c>
    </row>
    <row r="222" spans="1:16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 s="29" t="str">
        <f>LOWER(CONCATENATE("bittrex:",SUBSTITUTE(bittrex[[#This Row],[Column1.MarketName]],"-","")))</f>
        <v>bittrex:ethltc</v>
      </c>
      <c r="O222" s="26" t="str">
        <f>LOWER(CONCATENATE(SUBSTITUTE(bittrex[[#This Row],[Column1.MarketName]],"-","")))</f>
        <v>ethltc</v>
      </c>
      <c r="P222" s="37">
        <f>bittrex[[#This Row],[Column1.Last]]</f>
        <v>0.24198652000000001</v>
      </c>
    </row>
    <row r="223" spans="1:16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 s="29" t="str">
        <f>LOWER(CONCATENATE("bittrex:",SUBSTITUTE(bittrex[[#This Row],[Column1.MarketName]],"-","")))</f>
        <v>bittrex:ethlun</v>
      </c>
      <c r="O223" s="26" t="str">
        <f>LOWER(CONCATENATE(SUBSTITUTE(bittrex[[#This Row],[Column1.MarketName]],"-","")))</f>
        <v>ethlun</v>
      </c>
      <c r="P223" s="37">
        <f>bittrex[[#This Row],[Column1.Last]]</f>
        <v>2.5899999999999999E-2</v>
      </c>
    </row>
    <row r="224" spans="1:16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 s="29" t="str">
        <f>LOWER(CONCATENATE("bittrex:",SUBSTITUTE(bittrex[[#This Row],[Column1.MarketName]],"-","")))</f>
        <v>bittrex:ethmco</v>
      </c>
      <c r="O224" s="26" t="str">
        <f>LOWER(CONCATENATE(SUBSTITUTE(bittrex[[#This Row],[Column1.MarketName]],"-","")))</f>
        <v>ethmco</v>
      </c>
      <c r="P224" s="37">
        <f>bittrex[[#This Row],[Column1.Last]]</f>
        <v>2.8500000000000001E-2</v>
      </c>
    </row>
    <row r="225" spans="1:16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 s="29" t="str">
        <f>LOWER(CONCATENATE("bittrex:",SUBSTITUTE(bittrex[[#This Row],[Column1.MarketName]],"-","")))</f>
        <v>bittrex:ethmtl</v>
      </c>
      <c r="O225" s="26" t="str">
        <f>LOWER(CONCATENATE(SUBSTITUTE(bittrex[[#This Row],[Column1.MarketName]],"-","")))</f>
        <v>ethmtl</v>
      </c>
      <c r="P225" s="37">
        <f>bittrex[[#This Row],[Column1.Last]]</f>
        <v>3.5838490000000001E-2</v>
      </c>
    </row>
    <row r="226" spans="1:16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 s="29" t="str">
        <f>LOWER(CONCATENATE("bittrex:",SUBSTITUTE(bittrex[[#This Row],[Column1.MarketName]],"-","")))</f>
        <v>bittrex:ethmyst</v>
      </c>
      <c r="O226" s="26" t="str">
        <f>LOWER(CONCATENATE(SUBSTITUTE(bittrex[[#This Row],[Column1.MarketName]],"-","")))</f>
        <v>ethmyst</v>
      </c>
      <c r="P226" s="37">
        <f>bittrex[[#This Row],[Column1.Last]]</f>
        <v>3.8370000000000001E-3</v>
      </c>
    </row>
    <row r="227" spans="1:16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 s="29" t="str">
        <f>LOWER(CONCATENATE("bittrex:",SUBSTITUTE(bittrex[[#This Row],[Column1.MarketName]],"-","")))</f>
        <v>bittrex:ethneo</v>
      </c>
      <c r="O227" s="26" t="str">
        <f>LOWER(CONCATENATE(SUBSTITUTE(bittrex[[#This Row],[Column1.MarketName]],"-","")))</f>
        <v>ethneo</v>
      </c>
      <c r="P227" s="37">
        <f>bittrex[[#This Row],[Column1.Last]]</f>
        <v>7.4000079999999996E-2</v>
      </c>
    </row>
    <row r="228" spans="1:16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 s="29" t="str">
        <f>LOWER(CONCATENATE("bittrex:",SUBSTITUTE(bittrex[[#This Row],[Column1.MarketName]],"-","")))</f>
        <v>bittrex:ethnmr</v>
      </c>
      <c r="O228" s="26" t="str">
        <f>LOWER(CONCATENATE(SUBSTITUTE(bittrex[[#This Row],[Column1.MarketName]],"-","")))</f>
        <v>ethnmr</v>
      </c>
      <c r="P228" s="37">
        <f>bittrex[[#This Row],[Column1.Last]]</f>
        <v>6.4649999999999999E-2</v>
      </c>
    </row>
    <row r="229" spans="1:16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 s="29" t="str">
        <f>LOWER(CONCATENATE("bittrex:",SUBSTITUTE(bittrex[[#This Row],[Column1.MarketName]],"-","")))</f>
        <v>bittrex:ethomg</v>
      </c>
      <c r="O229" s="26" t="str">
        <f>LOWER(CONCATENATE(SUBSTITUTE(bittrex[[#This Row],[Column1.MarketName]],"-","")))</f>
        <v>ethomg</v>
      </c>
      <c r="P229" s="37">
        <f>bittrex[[#This Row],[Column1.Last]]</f>
        <v>3.4387840000000003E-2</v>
      </c>
    </row>
    <row r="230" spans="1:16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 s="29" t="str">
        <f>LOWER(CONCATENATE("bittrex:",SUBSTITUTE(bittrex[[#This Row],[Column1.MarketName]],"-","")))</f>
        <v>bittrex:ethpay</v>
      </c>
      <c r="O230" s="26" t="str">
        <f>LOWER(CONCATENATE(SUBSTITUTE(bittrex[[#This Row],[Column1.MarketName]],"-","")))</f>
        <v>ethpay</v>
      </c>
      <c r="P230" s="37">
        <f>bittrex[[#This Row],[Column1.Last]]</f>
        <v>9.1000000000000004E-3</v>
      </c>
    </row>
    <row r="231" spans="1:16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 s="29" t="str">
        <f>LOWER(CONCATENATE("bittrex:",SUBSTITUTE(bittrex[[#This Row],[Column1.MarketName]],"-","")))</f>
        <v>bittrex:ethptoy</v>
      </c>
      <c r="O231" s="26" t="str">
        <f>LOWER(CONCATENATE(SUBSTITUTE(bittrex[[#This Row],[Column1.MarketName]],"-","")))</f>
        <v>ethptoy</v>
      </c>
      <c r="P231" s="37">
        <f>bittrex[[#This Row],[Column1.Last]]</f>
        <v>1.1519200000000001E-3</v>
      </c>
    </row>
    <row r="232" spans="1:16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 s="29" t="str">
        <f>LOWER(CONCATENATE("bittrex:",SUBSTITUTE(bittrex[[#This Row],[Column1.MarketName]],"-","")))</f>
        <v>bittrex:ethqrl</v>
      </c>
      <c r="O232" s="26" t="str">
        <f>LOWER(CONCATENATE(SUBSTITUTE(bittrex[[#This Row],[Column1.MarketName]],"-","")))</f>
        <v>ethqrl</v>
      </c>
      <c r="P232" s="37">
        <f>bittrex[[#This Row],[Column1.Last]]</f>
        <v>1.7500199999999999E-3</v>
      </c>
    </row>
    <row r="233" spans="1:16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 s="29" t="str">
        <f>LOWER(CONCATENATE("bittrex:",SUBSTITUTE(bittrex[[#This Row],[Column1.MarketName]],"-","")))</f>
        <v>bittrex:ethqtum</v>
      </c>
      <c r="O233" s="26" t="str">
        <f>LOWER(CONCATENATE(SUBSTITUTE(bittrex[[#This Row],[Column1.MarketName]],"-","")))</f>
        <v>ethqtum</v>
      </c>
      <c r="P233" s="37">
        <f>bittrex[[#This Row],[Column1.Last]]</f>
        <v>3.4100890000000002E-2</v>
      </c>
    </row>
    <row r="234" spans="1:16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 s="29" t="str">
        <f>LOWER(CONCATENATE("bittrex:",SUBSTITUTE(bittrex[[#This Row],[Column1.MarketName]],"-","")))</f>
        <v>bittrex:ethrep</v>
      </c>
      <c r="O234" s="26" t="str">
        <f>LOWER(CONCATENATE(SUBSTITUTE(bittrex[[#This Row],[Column1.MarketName]],"-","")))</f>
        <v>ethrep</v>
      </c>
      <c r="P234" s="37">
        <f>bittrex[[#This Row],[Column1.Last]]</f>
        <v>7.1374560000000004E-2</v>
      </c>
    </row>
    <row r="235" spans="1:16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 s="29" t="str">
        <f>LOWER(CONCATENATE("bittrex:",SUBSTITUTE(bittrex[[#This Row],[Column1.MarketName]],"-","")))</f>
        <v>bittrex:ethrlc</v>
      </c>
      <c r="O235" s="26" t="str">
        <f>LOWER(CONCATENATE(SUBSTITUTE(bittrex[[#This Row],[Column1.MarketName]],"-","")))</f>
        <v>ethrlc</v>
      </c>
      <c r="P235" s="37">
        <f>bittrex[[#This Row],[Column1.Last]]</f>
        <v>1.79999E-3</v>
      </c>
    </row>
    <row r="236" spans="1:16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 s="29" t="str">
        <f>LOWER(CONCATENATE("bittrex:",SUBSTITUTE(bittrex[[#This Row],[Column1.MarketName]],"-","")))</f>
        <v>bittrex:ethsc</v>
      </c>
      <c r="O236" s="26" t="str">
        <f>LOWER(CONCATENATE(SUBSTITUTE(bittrex[[#This Row],[Column1.MarketName]],"-","")))</f>
        <v>ethsc</v>
      </c>
      <c r="P236" s="37">
        <f>bittrex[[#This Row],[Column1.Last]]</f>
        <v>2.3750000000000001E-5</v>
      </c>
    </row>
    <row r="237" spans="1:16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 s="29" t="str">
        <f>LOWER(CONCATENATE("bittrex:",SUBSTITUTE(bittrex[[#This Row],[Column1.MarketName]],"-","")))</f>
        <v>bittrex:ethsngls</v>
      </c>
      <c r="O237" s="26" t="str">
        <f>LOWER(CONCATENATE(SUBSTITUTE(bittrex[[#This Row],[Column1.MarketName]],"-","")))</f>
        <v>ethsngls</v>
      </c>
      <c r="P237" s="37">
        <f>bittrex[[#This Row],[Column1.Last]]</f>
        <v>4.3088000000000002E-4</v>
      </c>
    </row>
    <row r="238" spans="1:16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 s="29" t="str">
        <f>LOWER(CONCATENATE("bittrex:",SUBSTITUTE(bittrex[[#This Row],[Column1.MarketName]],"-","")))</f>
        <v>bittrex:ethsnt</v>
      </c>
      <c r="O238" s="26" t="str">
        <f>LOWER(CONCATENATE(SUBSTITUTE(bittrex[[#This Row],[Column1.MarketName]],"-","")))</f>
        <v>ethsnt</v>
      </c>
      <c r="P238" s="37">
        <f>bittrex[[#This Row],[Column1.Last]]</f>
        <v>1.15E-4</v>
      </c>
    </row>
    <row r="239" spans="1:16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 s="29" t="str">
        <f>LOWER(CONCATENATE("bittrex:",SUBSTITUTE(bittrex[[#This Row],[Column1.MarketName]],"-","")))</f>
        <v>bittrex:ethstorj</v>
      </c>
      <c r="O239" s="26" t="str">
        <f>LOWER(CONCATENATE(SUBSTITUTE(bittrex[[#This Row],[Column1.MarketName]],"-","")))</f>
        <v>ethstorj</v>
      </c>
      <c r="P239" s="37">
        <f>bittrex[[#This Row],[Column1.Last]]</f>
        <v>1.78236E-3</v>
      </c>
    </row>
    <row r="240" spans="1:16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 s="29" t="str">
        <f>LOWER(CONCATENATE("bittrex:",SUBSTITUTE(bittrex[[#This Row],[Column1.MarketName]],"-","")))</f>
        <v>bittrex:ethstrat</v>
      </c>
      <c r="O240" s="26" t="str">
        <f>LOWER(CONCATENATE(SUBSTITUTE(bittrex[[#This Row],[Column1.MarketName]],"-","")))</f>
        <v>ethstrat</v>
      </c>
      <c r="P240" s="37">
        <f>bittrex[[#This Row],[Column1.Last]]</f>
        <v>1.8499999999999999E-2</v>
      </c>
    </row>
    <row r="241" spans="1:16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 s="29" t="str">
        <f>LOWER(CONCATENATE("bittrex:",SUBSTITUTE(bittrex[[#This Row],[Column1.MarketName]],"-","")))</f>
        <v>bittrex:ethtime</v>
      </c>
      <c r="O241" s="26" t="str">
        <f>LOWER(CONCATENATE(SUBSTITUTE(bittrex[[#This Row],[Column1.MarketName]],"-","")))</f>
        <v>ethtime</v>
      </c>
      <c r="P241" s="37">
        <f>bittrex[[#This Row],[Column1.Last]]</f>
        <v>6.8708610000000003E-2</v>
      </c>
    </row>
    <row r="242" spans="1:16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 s="29" t="str">
        <f>LOWER(CONCATENATE("bittrex:",SUBSTITUTE(bittrex[[#This Row],[Column1.MarketName]],"-","")))</f>
        <v>bittrex:ethtkn</v>
      </c>
      <c r="O242" s="26" t="str">
        <f>LOWER(CONCATENATE(SUBSTITUTE(bittrex[[#This Row],[Column1.MarketName]],"-","")))</f>
        <v>ethtkn</v>
      </c>
      <c r="P242" s="37">
        <f>bittrex[[#This Row],[Column1.Last]]</f>
        <v>4.8936500000000003E-3</v>
      </c>
    </row>
    <row r="243" spans="1:16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 s="29" t="str">
        <f>LOWER(CONCATENATE("bittrex:",SUBSTITUTE(bittrex[[#This Row],[Column1.MarketName]],"-","")))</f>
        <v>bittrex:ethtrst</v>
      </c>
      <c r="O243" s="26" t="str">
        <f>LOWER(CONCATENATE(SUBSTITUTE(bittrex[[#This Row],[Column1.MarketName]],"-","")))</f>
        <v>ethtrst</v>
      </c>
      <c r="P243" s="37">
        <f>bittrex[[#This Row],[Column1.Last]]</f>
        <v>8.7000000000000001E-4</v>
      </c>
    </row>
    <row r="244" spans="1:16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 s="29" t="str">
        <f>LOWER(CONCATENATE("bittrex:",SUBSTITUTE(bittrex[[#This Row],[Column1.MarketName]],"-","")))</f>
        <v>bittrex:ethwaves</v>
      </c>
      <c r="O244" s="26" t="str">
        <f>LOWER(CONCATENATE(SUBSTITUTE(bittrex[[#This Row],[Column1.MarketName]],"-","")))</f>
        <v>ethwaves</v>
      </c>
      <c r="P244" s="37">
        <f>bittrex[[#This Row],[Column1.Last]]</f>
        <v>1.5421239999999999E-2</v>
      </c>
    </row>
    <row r="245" spans="1:16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 s="29" t="str">
        <f>LOWER(CONCATENATE("bittrex:",SUBSTITUTE(bittrex[[#This Row],[Column1.MarketName]],"-","")))</f>
        <v>bittrex:ethwings</v>
      </c>
      <c r="O245" s="26" t="str">
        <f>LOWER(CONCATENATE(SUBSTITUTE(bittrex[[#This Row],[Column1.MarketName]],"-","")))</f>
        <v>ethwings</v>
      </c>
      <c r="P245" s="37">
        <f>bittrex[[#This Row],[Column1.Last]]</f>
        <v>2.1490200000000002E-3</v>
      </c>
    </row>
    <row r="246" spans="1:16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 s="29" t="str">
        <f>LOWER(CONCATENATE("bittrex:",SUBSTITUTE(bittrex[[#This Row],[Column1.MarketName]],"-","")))</f>
        <v>bittrex:ethxem</v>
      </c>
      <c r="O246" s="26" t="str">
        <f>LOWER(CONCATENATE(SUBSTITUTE(bittrex[[#This Row],[Column1.MarketName]],"-","")))</f>
        <v>ethxem</v>
      </c>
      <c r="P246" s="37">
        <f>bittrex[[#This Row],[Column1.Last]]</f>
        <v>9.0025999999999995E-4</v>
      </c>
    </row>
    <row r="247" spans="1:16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 s="29" t="str">
        <f>LOWER(CONCATENATE("bittrex:",SUBSTITUTE(bittrex[[#This Row],[Column1.MarketName]],"-","")))</f>
        <v>bittrex:ethxlm</v>
      </c>
      <c r="O247" s="26" t="str">
        <f>LOWER(CONCATENATE(SUBSTITUTE(bittrex[[#This Row],[Column1.MarketName]],"-","")))</f>
        <v>ethxlm</v>
      </c>
      <c r="P247" s="37">
        <f>bittrex[[#This Row],[Column1.Last]]</f>
        <v>5.9700000000000001E-5</v>
      </c>
    </row>
    <row r="248" spans="1:16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 s="29" t="str">
        <f>LOWER(CONCATENATE("bittrex:",SUBSTITUTE(bittrex[[#This Row],[Column1.MarketName]],"-","")))</f>
        <v>bittrex:ethxmr</v>
      </c>
      <c r="O248" s="26" t="str">
        <f>LOWER(CONCATENATE(SUBSTITUTE(bittrex[[#This Row],[Column1.MarketName]],"-","")))</f>
        <v>ethxmr</v>
      </c>
      <c r="P248" s="37">
        <f>bittrex[[#This Row],[Column1.Last]]</f>
        <v>0.36200067000000002</v>
      </c>
    </row>
    <row r="249" spans="1:16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 s="29" t="str">
        <f>LOWER(CONCATENATE("bittrex:",SUBSTITUTE(bittrex[[#This Row],[Column1.MarketName]],"-","")))</f>
        <v>bittrex:ethxrp</v>
      </c>
      <c r="O249" s="26" t="str">
        <f>LOWER(CONCATENATE(SUBSTITUTE(bittrex[[#This Row],[Column1.MarketName]],"-","")))</f>
        <v>ethxrp</v>
      </c>
      <c r="P249" s="37">
        <f>bittrex[[#This Row],[Column1.Last]]</f>
        <v>6.8964000000000004E-4</v>
      </c>
    </row>
    <row r="250" spans="1:16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 s="29" t="str">
        <f>LOWER(CONCATENATE("bittrex:",SUBSTITUTE(bittrex[[#This Row],[Column1.MarketName]],"-","")))</f>
        <v>bittrex:ethzec</v>
      </c>
      <c r="O250" s="26" t="str">
        <f>LOWER(CONCATENATE(SUBSTITUTE(bittrex[[#This Row],[Column1.MarketName]],"-","")))</f>
        <v>ethzec</v>
      </c>
      <c r="P250" s="37">
        <f>bittrex[[#This Row],[Column1.Last]]</f>
        <v>0.73546566000000002</v>
      </c>
    </row>
    <row r="251" spans="1:16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 s="29" t="str">
        <f>LOWER(CONCATENATE("bittrex:",SUBSTITUTE(bittrex[[#This Row],[Column1.MarketName]],"-","")))</f>
        <v>bittrex:usdtbcc</v>
      </c>
      <c r="O251" s="26" t="str">
        <f>LOWER(CONCATENATE(SUBSTITUTE(bittrex[[#This Row],[Column1.MarketName]],"-","")))</f>
        <v>usdtbcc</v>
      </c>
      <c r="P251" s="37">
        <f>bittrex[[#This Row],[Column1.Last]]</f>
        <v>690</v>
      </c>
    </row>
    <row r="252" spans="1:16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 s="29" t="str">
        <f>LOWER(CONCATENATE("bittrex:",SUBSTITUTE(bittrex[[#This Row],[Column1.MarketName]],"-","")))</f>
        <v>bittrex:usdtbtc</v>
      </c>
      <c r="O252" s="26" t="str">
        <f>LOWER(CONCATENATE(SUBSTITUTE(bittrex[[#This Row],[Column1.MarketName]],"-","")))</f>
        <v>usdtbtc</v>
      </c>
      <c r="P252" s="37">
        <f>bittrex[[#This Row],[Column1.Last]]</f>
        <v>4550</v>
      </c>
    </row>
    <row r="253" spans="1:16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 s="29" t="str">
        <f>LOWER(CONCATENATE("bittrex:",SUBSTITUTE(bittrex[[#This Row],[Column1.MarketName]],"-","")))</f>
        <v>bittrex:usdtdash</v>
      </c>
      <c r="O253" s="26" t="str">
        <f>LOWER(CONCATENATE(SUBSTITUTE(bittrex[[#This Row],[Column1.MarketName]],"-","")))</f>
        <v>usdtdash</v>
      </c>
      <c r="P253" s="37">
        <f>bittrex[[#This Row],[Column1.Last]]</f>
        <v>338.85</v>
      </c>
    </row>
    <row r="254" spans="1:16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 s="29" t="str">
        <f>LOWER(CONCATENATE("bittrex:",SUBSTITUTE(bittrex[[#This Row],[Column1.MarketName]],"-","")))</f>
        <v>bittrex:usdtetc</v>
      </c>
      <c r="O254" s="26" t="str">
        <f>LOWER(CONCATENATE(SUBSTITUTE(bittrex[[#This Row],[Column1.MarketName]],"-","")))</f>
        <v>usdtetc</v>
      </c>
      <c r="P254" s="37">
        <f>bittrex[[#This Row],[Column1.Last]]</f>
        <v>18.51456774</v>
      </c>
    </row>
    <row r="255" spans="1:16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 s="29" t="str">
        <f>LOWER(CONCATENATE("bittrex:",SUBSTITUTE(bittrex[[#This Row],[Column1.MarketName]],"-","")))</f>
        <v>bittrex:usdteth</v>
      </c>
      <c r="O255" s="26" t="str">
        <f>LOWER(CONCATENATE(SUBSTITUTE(bittrex[[#This Row],[Column1.MarketName]],"-","")))</f>
        <v>usdteth</v>
      </c>
      <c r="P255" s="37">
        <f>bittrex[[#This Row],[Column1.Last]]</f>
        <v>324.14</v>
      </c>
    </row>
    <row r="256" spans="1:16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 s="29" t="str">
        <f>LOWER(CONCATENATE("bittrex:",SUBSTITUTE(bittrex[[#This Row],[Column1.MarketName]],"-","")))</f>
        <v>bittrex:usdtltc</v>
      </c>
      <c r="O256" s="26" t="str">
        <f>LOWER(CONCATENATE(SUBSTITUTE(bittrex[[#This Row],[Column1.MarketName]],"-","")))</f>
        <v>usdtltc</v>
      </c>
      <c r="P256" s="37">
        <f>bittrex[[#This Row],[Column1.Last]]</f>
        <v>78.457999999999998</v>
      </c>
    </row>
    <row r="257" spans="1:16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 s="29" t="str">
        <f>LOWER(CONCATENATE("bittrex:",SUBSTITUTE(bittrex[[#This Row],[Column1.MarketName]],"-","")))</f>
        <v>bittrex:usdtneo</v>
      </c>
      <c r="O257" s="26" t="str">
        <f>LOWER(CONCATENATE(SUBSTITUTE(bittrex[[#This Row],[Column1.MarketName]],"-","")))</f>
        <v>usdtneo</v>
      </c>
      <c r="P257" s="37">
        <f>bittrex[[#This Row],[Column1.Last]]</f>
        <v>24.151</v>
      </c>
    </row>
    <row r="258" spans="1:16" ht="14.4" thickBot="1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 s="31" t="str">
        <f>LOWER(CONCATENATE("bittrex:",SUBSTITUTE(bittrex[[#This Row],[Column1.MarketName]],"-","")))</f>
        <v>bittrex:usdtxmr</v>
      </c>
      <c r="O258" s="32" t="str">
        <f>LOWER(CONCATENATE(SUBSTITUTE(bittrex[[#This Row],[Column1.MarketName]],"-","")))</f>
        <v>usdtxmr</v>
      </c>
      <c r="P258" s="38">
        <f>bittrex[[#This Row],[Column1.Last]]</f>
        <v>117.211</v>
      </c>
    </row>
    <row r="259" spans="1:16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 s="35" t="str">
        <f>LOWER(CONCATENATE("bittrex:",SUBSTITUTE(bittrex[[#This Row],[Column1.MarketName]],"-","")))</f>
        <v>bittrex:usdtxrp</v>
      </c>
      <c r="O259" s="36" t="str">
        <f>LOWER(CONCATENATE(SUBSTITUTE(bittrex[[#This Row],[Column1.MarketName]],"-","")))</f>
        <v>usdtxrp</v>
      </c>
      <c r="P259" s="39">
        <f>bittrex[[#This Row],[Column1.Last]]</f>
        <v>0.223</v>
      </c>
    </row>
    <row r="260" spans="1:16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 s="35" t="str">
        <f>LOWER(CONCATENATE("bittrex:",SUBSTITUTE(bittrex[[#This Row],[Column1.MarketName]],"-","")))</f>
        <v>bittrex:usdtzec</v>
      </c>
      <c r="O260" s="36" t="str">
        <f>LOWER(CONCATENATE(SUBSTITUTE(bittrex[[#This Row],[Column1.MarketName]],"-","")))</f>
        <v>usdtzec</v>
      </c>
      <c r="P260" s="39">
        <f>bittrex[[#This Row],[Column1.Last]]</f>
        <v>236.61000002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B33"/>
  <sheetViews>
    <sheetView workbookViewId="0">
      <selection activeCell="N33" sqref="N33"/>
    </sheetView>
  </sheetViews>
  <sheetFormatPr defaultRowHeight="13.8"/>
  <sheetData>
    <row r="1" spans="1:2">
      <c r="A1" t="s">
        <v>18</v>
      </c>
      <c r="B1" t="s">
        <v>81</v>
      </c>
    </row>
    <row r="2" spans="1:2">
      <c r="A2" t="str">
        <f>'REF-Cryptowat.ch'!F5</f>
        <v>bccbtc</v>
      </c>
      <c r="B2">
        <f>'REF-Cryptowat.ch'!G5</f>
        <v>0.87990000000000002</v>
      </c>
    </row>
    <row r="3" spans="1:2">
      <c r="A3" t="str">
        <f>'REF-Cryptowat.ch'!F6</f>
        <v>bccusd</v>
      </c>
      <c r="B3">
        <f>'REF-Cryptowat.ch'!G6</f>
        <v>4049.9</v>
      </c>
    </row>
    <row r="4" spans="1:2">
      <c r="A4" t="str">
        <f>'REF-Cryptowat.ch'!F7</f>
        <v>bchbtc</v>
      </c>
      <c r="B4">
        <f>'REF-Cryptowat.ch'!G7</f>
        <v>0.15273999999999999</v>
      </c>
    </row>
    <row r="5" spans="1:2">
      <c r="A5" t="str">
        <f>'REF-Cryptowat.ch'!F8</f>
        <v>bcheth</v>
      </c>
      <c r="B5">
        <f>'REF-Cryptowat.ch'!G8</f>
        <v>2.14</v>
      </c>
    </row>
    <row r="6" spans="1:2">
      <c r="A6" t="str">
        <f>'REF-Cryptowat.ch'!F9</f>
        <v>bchusd</v>
      </c>
      <c r="B6">
        <f>'REF-Cryptowat.ch'!G9</f>
        <v>690.05</v>
      </c>
    </row>
    <row r="7" spans="1:2">
      <c r="A7" t="str">
        <f>'REF-Cryptowat.ch'!F10</f>
        <v>bcubtc</v>
      </c>
      <c r="B7">
        <f>'REF-Cryptowat.ch'!G10</f>
        <v>0.14699999999999999</v>
      </c>
    </row>
    <row r="8" spans="1:2">
      <c r="A8" t="str">
        <f>'REF-Cryptowat.ch'!F11</f>
        <v>bcuusd</v>
      </c>
      <c r="B8">
        <f>'REF-Cryptowat.ch'!G11</f>
        <v>630.02</v>
      </c>
    </row>
    <row r="9" spans="1:2">
      <c r="A9" t="str">
        <f>'REF-Cryptowat.ch'!F12</f>
        <v>bfxusd</v>
      </c>
      <c r="B9">
        <f>'REF-Cryptowat.ch'!G12</f>
        <v>0.99980000000000002</v>
      </c>
    </row>
    <row r="10" spans="1:2">
      <c r="A10" t="str">
        <f>'REF-Cryptowat.ch'!F13</f>
        <v>btcusd</v>
      </c>
      <c r="B10">
        <f>'REF-Cryptowat.ch'!G13</f>
        <v>4532.1000000000004</v>
      </c>
    </row>
    <row r="11" spans="1:2">
      <c r="A11" t="str">
        <f>'REF-Cryptowat.ch'!F14</f>
        <v>dashbtc</v>
      </c>
      <c r="B11">
        <f>'REF-Cryptowat.ch'!G14</f>
        <v>7.4066999999999994E-2</v>
      </c>
    </row>
    <row r="12" spans="1:2">
      <c r="A12" t="str">
        <f>'REF-Cryptowat.ch'!F15</f>
        <v>dashusd</v>
      </c>
      <c r="B12">
        <f>'REF-Cryptowat.ch'!G15</f>
        <v>337.56</v>
      </c>
    </row>
    <row r="13" spans="1:2">
      <c r="A13" t="str">
        <f>'REF-Cryptowat.ch'!F16</f>
        <v>eosbtc</v>
      </c>
      <c r="B13">
        <f>'REF-Cryptowat.ch'!G16</f>
        <v>1.9235000000000001E-4</v>
      </c>
    </row>
    <row r="14" spans="1:2">
      <c r="A14" t="str">
        <f>'REF-Cryptowat.ch'!F17</f>
        <v>eoseth</v>
      </c>
      <c r="B14">
        <f>'REF-Cryptowat.ch'!G17</f>
        <v>2.6689999999999999E-3</v>
      </c>
    </row>
    <row r="15" spans="1:2">
      <c r="A15" t="str">
        <f>'REF-Cryptowat.ch'!F18</f>
        <v>eosusd</v>
      </c>
      <c r="B15">
        <f>'REF-Cryptowat.ch'!G18</f>
        <v>0.87548999999999999</v>
      </c>
    </row>
    <row r="16" spans="1:2">
      <c r="A16" t="str">
        <f>'REF-Cryptowat.ch'!F19</f>
        <v>etcbtc</v>
      </c>
      <c r="B16">
        <f>'REF-Cryptowat.ch'!G19</f>
        <v>4.0588999999999998E-3</v>
      </c>
    </row>
    <row r="17" spans="1:2">
      <c r="A17" t="str">
        <f>'REF-Cryptowat.ch'!F20</f>
        <v>etcusd</v>
      </c>
      <c r="B17">
        <f>'REF-Cryptowat.ch'!G20</f>
        <v>18.428999999999998</v>
      </c>
    </row>
    <row r="18" spans="1:2">
      <c r="A18" t="str">
        <f>'REF-Cryptowat.ch'!F21</f>
        <v>ethbtc</v>
      </c>
      <c r="B18">
        <f>'REF-Cryptowat.ch'!G21</f>
        <v>7.1756E-2</v>
      </c>
    </row>
    <row r="19" spans="1:2">
      <c r="A19" t="str">
        <f>'REF-Cryptowat.ch'!F22</f>
        <v>ethusd</v>
      </c>
      <c r="B19">
        <f>'REF-Cryptowat.ch'!G22</f>
        <v>325.48</v>
      </c>
    </row>
    <row r="20" spans="1:2">
      <c r="A20" t="str">
        <f>'REF-Cryptowat.ch'!F23</f>
        <v>iotbtc</v>
      </c>
      <c r="B20">
        <f>'REF-Cryptowat.ch'!G23</f>
        <v>1.5482000000000001E-4</v>
      </c>
    </row>
    <row r="21" spans="1:2">
      <c r="A21" t="str">
        <f>'REF-Cryptowat.ch'!F24</f>
        <v>ioteth</v>
      </c>
      <c r="B21">
        <f>'REF-Cryptowat.ch'!G24</f>
        <v>2.14E-3</v>
      </c>
    </row>
    <row r="22" spans="1:2">
      <c r="A22" t="str">
        <f>'REF-Cryptowat.ch'!F25</f>
        <v>iotusd</v>
      </c>
      <c r="B22">
        <f>'REF-Cryptowat.ch'!G25</f>
        <v>0.69796999999999998</v>
      </c>
    </row>
    <row r="23" spans="1:2">
      <c r="A23" t="str">
        <f>'REF-Cryptowat.ch'!F26</f>
        <v>ltcbtc</v>
      </c>
      <c r="B23">
        <f>'REF-Cryptowat.ch'!G26</f>
        <v>1.7288999999999999E-2</v>
      </c>
    </row>
    <row r="24" spans="1:2">
      <c r="A24" t="str">
        <f>'REF-Cryptowat.ch'!F27</f>
        <v>ltcusd</v>
      </c>
      <c r="B24">
        <f>'REF-Cryptowat.ch'!G27</f>
        <v>78.378</v>
      </c>
    </row>
    <row r="25" spans="1:2">
      <c r="A25" t="str">
        <f>'REF-Cryptowat.ch'!F28</f>
        <v>omgbtc</v>
      </c>
      <c r="B25">
        <f>'REF-Cryptowat.ch'!G28</f>
        <v>2.4399999999999999E-3</v>
      </c>
    </row>
    <row r="26" spans="1:2">
      <c r="A26" t="str">
        <f>'REF-Cryptowat.ch'!F29</f>
        <v>omgeth</v>
      </c>
      <c r="B26">
        <f>'REF-Cryptowat.ch'!G29</f>
        <v>3.4100999999999999E-2</v>
      </c>
    </row>
    <row r="27" spans="1:2">
      <c r="A27" t="str">
        <f>'REF-Cryptowat.ch'!F30</f>
        <v>omgusd</v>
      </c>
      <c r="B27">
        <f>'REF-Cryptowat.ch'!G30</f>
        <v>11.15</v>
      </c>
    </row>
    <row r="28" spans="1:2">
      <c r="A28" t="str">
        <f>'REF-Cryptowat.ch'!F31</f>
        <v>xmrbtc</v>
      </c>
      <c r="B28">
        <f>'REF-Cryptowat.ch'!G31</f>
        <v>2.6075999999999998E-2</v>
      </c>
    </row>
    <row r="29" spans="1:2">
      <c r="A29" t="str">
        <f>'REF-Cryptowat.ch'!F32</f>
        <v>xmrusd</v>
      </c>
      <c r="B29">
        <f>'REF-Cryptowat.ch'!G32</f>
        <v>117.7</v>
      </c>
    </row>
    <row r="30" spans="1:2">
      <c r="A30" t="str">
        <f>'REF-Cryptowat.ch'!F33</f>
        <v>xrpbtc</v>
      </c>
      <c r="B30">
        <f>'REF-Cryptowat.ch'!G33</f>
        <v>4.905E-5</v>
      </c>
    </row>
    <row r="31" spans="1:2">
      <c r="A31" t="str">
        <f>'REF-Cryptowat.ch'!F34</f>
        <v>xrpusd</v>
      </c>
      <c r="B31">
        <f>'REF-Cryptowat.ch'!G34</f>
        <v>0.22248999999999999</v>
      </c>
    </row>
    <row r="32" spans="1:2">
      <c r="A32" t="str">
        <f>'REF-Cryptowat.ch'!F35</f>
        <v>zecbtc</v>
      </c>
      <c r="B32">
        <f>'REF-Cryptowat.ch'!G35</f>
        <v>5.2499999999999998E-2</v>
      </c>
    </row>
    <row r="33" spans="1:2">
      <c r="A33" t="str">
        <f>'REF-Cryptowat.ch'!F36</f>
        <v>zecusd</v>
      </c>
      <c r="B33">
        <f>'REF-Cryptowat.ch'!G36</f>
        <v>237.8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B43"/>
  <sheetViews>
    <sheetView workbookViewId="0">
      <selection activeCell="D5" sqref="D5"/>
    </sheetView>
  </sheetViews>
  <sheetFormatPr defaultRowHeight="13.8"/>
  <cols>
    <col min="2" max="2" width="11.3984375" customWidth="1"/>
  </cols>
  <sheetData>
    <row r="1" spans="1:2">
      <c r="A1" t="s">
        <v>18</v>
      </c>
      <c r="B1" t="s">
        <v>81</v>
      </c>
    </row>
    <row r="2" spans="1:2">
      <c r="A2" s="15" t="s">
        <v>25</v>
      </c>
      <c r="B2" s="16">
        <v>0.14098988000000001</v>
      </c>
    </row>
    <row r="3" spans="1:2">
      <c r="A3" s="17" t="s">
        <v>31</v>
      </c>
      <c r="B3" s="18">
        <v>4599</v>
      </c>
    </row>
    <row r="4" spans="1:2">
      <c r="A4" s="15" t="s">
        <v>32</v>
      </c>
      <c r="B4" s="16">
        <v>3.4600000000000001E-5</v>
      </c>
    </row>
    <row r="5" spans="1:2">
      <c r="A5" s="17" t="s">
        <v>33</v>
      </c>
      <c r="B5" s="18">
        <v>0</v>
      </c>
    </row>
    <row r="6" spans="1:2">
      <c r="A6" s="15" t="s">
        <v>34</v>
      </c>
      <c r="B6" s="16">
        <v>0</v>
      </c>
    </row>
    <row r="7" spans="1:2">
      <c r="A7" s="17" t="s">
        <v>35</v>
      </c>
      <c r="B7" s="18">
        <v>7.5668529999999998E-2</v>
      </c>
    </row>
    <row r="8" spans="1:2">
      <c r="A8" s="15" t="s">
        <v>36</v>
      </c>
      <c r="B8" s="16">
        <v>348</v>
      </c>
    </row>
    <row r="9" spans="1:2">
      <c r="A9" s="17" t="s">
        <v>37</v>
      </c>
      <c r="B9" s="18">
        <v>4.33E-6</v>
      </c>
    </row>
    <row r="10" spans="1:2">
      <c r="A10" s="15" t="s">
        <v>41</v>
      </c>
      <c r="B10" s="16">
        <v>4.0207999999999997E-3</v>
      </c>
    </row>
    <row r="11" spans="1:2">
      <c r="A11" s="17" t="s">
        <v>42</v>
      </c>
      <c r="B11" s="18">
        <v>5.4869319999999999E-2</v>
      </c>
    </row>
    <row r="12" spans="1:2">
      <c r="A12" s="15" t="s">
        <v>43</v>
      </c>
      <c r="B12" s="16">
        <v>18.5</v>
      </c>
    </row>
    <row r="13" spans="1:2">
      <c r="A13" s="17" t="s">
        <v>44</v>
      </c>
      <c r="B13" s="18">
        <v>7.322265E-2</v>
      </c>
    </row>
    <row r="14" spans="1:2">
      <c r="A14" s="15" t="s">
        <v>45</v>
      </c>
      <c r="B14" s="16">
        <v>336.34</v>
      </c>
    </row>
    <row r="15" spans="1:2">
      <c r="A15" s="17" t="s">
        <v>46</v>
      </c>
      <c r="B15" s="18">
        <v>5.7800000000000004E-3</v>
      </c>
    </row>
    <row r="16" spans="1:2">
      <c r="A16" s="15" t="s">
        <v>47</v>
      </c>
      <c r="B16" s="16">
        <v>3.4426199999999997E-2</v>
      </c>
    </row>
    <row r="17" spans="1:2">
      <c r="A17" s="17" t="s">
        <v>48</v>
      </c>
      <c r="B17" s="18">
        <v>0.46707818000000001</v>
      </c>
    </row>
    <row r="18" spans="1:2">
      <c r="A18" s="15" t="s">
        <v>49</v>
      </c>
      <c r="B18" s="16">
        <v>8.3100000000000001E-5</v>
      </c>
    </row>
    <row r="19" spans="1:2">
      <c r="A19" s="17" t="s">
        <v>53</v>
      </c>
      <c r="B19" s="18">
        <v>1.5438100000000001E-3</v>
      </c>
    </row>
    <row r="20" spans="1:2">
      <c r="A20" s="15" t="s">
        <v>54</v>
      </c>
      <c r="B20" s="16">
        <v>2.09581E-2</v>
      </c>
    </row>
    <row r="21" spans="1:2">
      <c r="A21" s="17" t="s">
        <v>55</v>
      </c>
      <c r="B21" s="18">
        <v>1.749999E-2</v>
      </c>
    </row>
    <row r="22" spans="1:2">
      <c r="A22" s="15" t="s">
        <v>56</v>
      </c>
      <c r="B22" s="16">
        <v>80.5</v>
      </c>
    </row>
    <row r="23" spans="1:2">
      <c r="A23" s="17" t="s">
        <v>57</v>
      </c>
      <c r="B23" s="18">
        <v>0.65100020000000003</v>
      </c>
    </row>
    <row r="24" spans="1:2">
      <c r="A24" s="15" t="s">
        <v>58</v>
      </c>
      <c r="B24" s="16">
        <v>1.4652999999999999E-4</v>
      </c>
    </row>
    <row r="25" spans="1:2">
      <c r="A25" s="17" t="s">
        <v>59</v>
      </c>
      <c r="B25" s="18">
        <v>3.6921000000000002E-4</v>
      </c>
    </row>
    <row r="26" spans="1:2">
      <c r="A26" s="15" t="s">
        <v>60</v>
      </c>
      <c r="B26" s="16">
        <v>2.2989999999999998E-5</v>
      </c>
    </row>
    <row r="27" spans="1:2">
      <c r="A27" s="17" t="s">
        <v>61</v>
      </c>
      <c r="B27" s="18">
        <v>0.10499412</v>
      </c>
    </row>
    <row r="28" spans="1:2">
      <c r="A28" s="15" t="s">
        <v>62</v>
      </c>
      <c r="B28" s="16">
        <v>8.6700000000000004E-4</v>
      </c>
    </row>
    <row r="29" spans="1:2">
      <c r="A29" s="17" t="s">
        <v>66</v>
      </c>
      <c r="B29" s="18">
        <v>5.0691399999999998E-3</v>
      </c>
    </row>
    <row r="30" spans="1:2">
      <c r="A30" s="15" t="s">
        <v>67</v>
      </c>
      <c r="B30" s="16">
        <v>6.9789550000000006E-2</v>
      </c>
    </row>
    <row r="31" spans="1:2">
      <c r="A31" s="17" t="s">
        <v>68</v>
      </c>
      <c r="B31" s="18">
        <v>23.293537000000001</v>
      </c>
    </row>
    <row r="32" spans="1:2">
      <c r="A32" s="15" t="s">
        <v>69</v>
      </c>
      <c r="B32" s="16">
        <v>3.2948999999999999E-4</v>
      </c>
    </row>
    <row r="33" spans="1:2">
      <c r="A33" s="17" t="s">
        <v>70</v>
      </c>
      <c r="B33" s="18">
        <v>1.3612800000000001E-3</v>
      </c>
    </row>
    <row r="34" spans="1:2">
      <c r="A34" s="15" t="s">
        <v>71</v>
      </c>
      <c r="B34" s="16">
        <v>4.4700000000000004E-6</v>
      </c>
    </row>
    <row r="35" spans="1:2">
      <c r="A35" s="17" t="s">
        <v>72</v>
      </c>
      <c r="B35" s="18">
        <v>2.0486879999999999E-2</v>
      </c>
    </row>
    <row r="36" spans="1:2">
      <c r="A36" s="15" t="s">
        <v>73</v>
      </c>
      <c r="B36" s="16">
        <v>2.69E-2</v>
      </c>
    </row>
    <row r="37" spans="1:2">
      <c r="A37" s="17" t="s">
        <v>74</v>
      </c>
      <c r="B37" s="18">
        <v>124</v>
      </c>
    </row>
    <row r="38" spans="1:2">
      <c r="A38" s="15" t="s">
        <v>75</v>
      </c>
      <c r="B38" s="16">
        <v>4.9700000000000002E-5</v>
      </c>
    </row>
    <row r="39" spans="1:2">
      <c r="A39" s="17" t="s">
        <v>76</v>
      </c>
      <c r="B39" s="18">
        <v>0.2274351</v>
      </c>
    </row>
    <row r="40" spans="1:2">
      <c r="A40" s="15" t="s">
        <v>77</v>
      </c>
      <c r="B40" s="16">
        <v>5.3611640000000002E-2</v>
      </c>
    </row>
    <row r="41" spans="1:2">
      <c r="A41" s="17" t="s">
        <v>78</v>
      </c>
      <c r="B41" s="18">
        <v>0.74</v>
      </c>
    </row>
    <row r="42" spans="1:2">
      <c r="A42" s="15" t="s">
        <v>79</v>
      </c>
      <c r="B42" s="16">
        <v>247.9</v>
      </c>
    </row>
    <row r="43" spans="1:2">
      <c r="A43" s="19" t="s">
        <v>80</v>
      </c>
      <c r="B43" s="20">
        <v>2.0049546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B258"/>
  <sheetViews>
    <sheetView topLeftCell="A9" workbookViewId="0">
      <selection activeCell="G20" sqref="G20"/>
    </sheetView>
  </sheetViews>
  <sheetFormatPr defaultRowHeight="13.8"/>
  <cols>
    <col min="1" max="1" width="11.296875" customWidth="1"/>
    <col min="2" max="2" width="17.8984375" customWidth="1"/>
  </cols>
  <sheetData>
    <row r="1" spans="1:2">
      <c r="A1" t="s">
        <v>18</v>
      </c>
      <c r="B1" t="s">
        <v>81</v>
      </c>
    </row>
    <row r="2" spans="1:2">
      <c r="A2" t="str">
        <f>'REF-Bittrex'!O2</f>
        <v>btc1st</v>
      </c>
      <c r="B2">
        <f>'REF-Bittrex'!P2</f>
        <v>9.2159999999999999E-5</v>
      </c>
    </row>
    <row r="3" spans="1:2">
      <c r="A3" t="str">
        <f>'REF-Bittrex'!O3</f>
        <v>btc2give</v>
      </c>
      <c r="B3">
        <f>'REF-Bittrex'!P3</f>
        <v>1.26E-6</v>
      </c>
    </row>
    <row r="4" spans="1:2">
      <c r="A4" t="str">
        <f>'REF-Bittrex'!O4</f>
        <v>btcaby</v>
      </c>
      <c r="B4">
        <f>'REF-Bittrex'!P4</f>
        <v>1.7400000000000001E-6</v>
      </c>
    </row>
    <row r="5" spans="1:2">
      <c r="A5" t="str">
        <f>'REF-Bittrex'!O5</f>
        <v>btcadt</v>
      </c>
      <c r="B5">
        <f>'REF-Bittrex'!P5</f>
        <v>1.0509999999999999E-5</v>
      </c>
    </row>
    <row r="6" spans="1:2">
      <c r="A6" t="str">
        <f>'REF-Bittrex'!O6</f>
        <v>btcadx</v>
      </c>
      <c r="B6">
        <f>'REF-Bittrex'!P6</f>
        <v>2.0853000000000001E-4</v>
      </c>
    </row>
    <row r="7" spans="1:2">
      <c r="A7" t="str">
        <f>'REF-Bittrex'!O7</f>
        <v>btcaeon</v>
      </c>
      <c r="B7">
        <f>'REF-Bittrex'!P7</f>
        <v>1.9008E-4</v>
      </c>
    </row>
    <row r="8" spans="1:2">
      <c r="A8" t="str">
        <f>'REF-Bittrex'!O8</f>
        <v>btcagrs</v>
      </c>
      <c r="B8">
        <f>'REF-Bittrex'!P8</f>
        <v>8.3599999999999999E-5</v>
      </c>
    </row>
    <row r="9" spans="1:2">
      <c r="A9" t="str">
        <f>'REF-Bittrex'!O9</f>
        <v>btcamp</v>
      </c>
      <c r="B9">
        <f>'REF-Bittrex'!P9</f>
        <v>4.3600000000000003E-5</v>
      </c>
    </row>
    <row r="10" spans="1:2">
      <c r="A10" t="str">
        <f>'REF-Bittrex'!O10</f>
        <v>btcant</v>
      </c>
      <c r="B10">
        <f>'REF-Bittrex'!P10</f>
        <v>4.9762000000000005E-4</v>
      </c>
    </row>
    <row r="11" spans="1:2">
      <c r="A11" t="str">
        <f>'REF-Bittrex'!O11</f>
        <v>btcapx</v>
      </c>
      <c r="B11">
        <f>'REF-Bittrex'!P11</f>
        <v>1.8455500000000001E-3</v>
      </c>
    </row>
    <row r="12" spans="1:2">
      <c r="A12" t="str">
        <f>'REF-Bittrex'!O12</f>
        <v>btcardr</v>
      </c>
      <c r="B12">
        <f>'REF-Bittrex'!P12</f>
        <v>3.3439999999999998E-5</v>
      </c>
    </row>
    <row r="13" spans="1:2">
      <c r="A13" t="str">
        <f>'REF-Bittrex'!O13</f>
        <v>btcark</v>
      </c>
      <c r="B13">
        <f>'REF-Bittrex'!P13</f>
        <v>5.8498999999999997E-4</v>
      </c>
    </row>
    <row r="14" spans="1:2">
      <c r="A14" t="str">
        <f>'REF-Bittrex'!O14</f>
        <v>btcaur</v>
      </c>
      <c r="B14">
        <f>'REF-Bittrex'!P14</f>
        <v>1.5139999999999999E-4</v>
      </c>
    </row>
    <row r="15" spans="1:2">
      <c r="A15" t="str">
        <f>'REF-Bittrex'!O15</f>
        <v>btcbat</v>
      </c>
      <c r="B15">
        <f>'REF-Bittrex'!P15</f>
        <v>4.8059999999999997E-5</v>
      </c>
    </row>
    <row r="16" spans="1:2">
      <c r="A16" t="str">
        <f>'REF-Bittrex'!O16</f>
        <v>btcbay</v>
      </c>
      <c r="B16">
        <f>'REF-Bittrex'!P16</f>
        <v>5.1399999999999999E-6</v>
      </c>
    </row>
    <row r="17" spans="1:2">
      <c r="A17" t="str">
        <f>'REF-Bittrex'!O17</f>
        <v>btcbcc</v>
      </c>
      <c r="B17">
        <f>'REF-Bittrex'!P17</f>
        <v>0.15289999000000001</v>
      </c>
    </row>
    <row r="18" spans="1:2">
      <c r="A18" t="str">
        <f>'REF-Bittrex'!O18</f>
        <v>btcbcy</v>
      </c>
      <c r="B18">
        <f>'REF-Bittrex'!P18</f>
        <v>9.2250000000000006E-5</v>
      </c>
    </row>
    <row r="19" spans="1:2">
      <c r="A19" t="str">
        <f>'REF-Bittrex'!O19</f>
        <v>btcbitb</v>
      </c>
      <c r="B19">
        <f>'REF-Bittrex'!P19</f>
        <v>6.9999999999999997E-7</v>
      </c>
    </row>
    <row r="20" spans="1:2">
      <c r="A20" t="str">
        <f>'REF-Bittrex'!O20</f>
        <v>btcblitz</v>
      </c>
      <c r="B20">
        <f>'REF-Bittrex'!P20</f>
        <v>4.0001000000000001E-4</v>
      </c>
    </row>
    <row r="21" spans="1:2">
      <c r="A21" t="str">
        <f>'REF-Bittrex'!O21</f>
        <v>btcblk</v>
      </c>
      <c r="B21">
        <f>'REF-Bittrex'!P21</f>
        <v>5.719E-5</v>
      </c>
    </row>
    <row r="22" spans="1:2">
      <c r="A22" t="str">
        <f>'REF-Bittrex'!O22</f>
        <v>btcblock</v>
      </c>
      <c r="B22">
        <f>'REF-Bittrex'!P22</f>
        <v>5.70033E-3</v>
      </c>
    </row>
    <row r="23" spans="1:2">
      <c r="A23" t="str">
        <f>'REF-Bittrex'!O23</f>
        <v>btcbnt</v>
      </c>
      <c r="B23">
        <f>'REF-Bittrex'!P23</f>
        <v>5.71E-4</v>
      </c>
    </row>
    <row r="24" spans="1:2">
      <c r="A24" t="str">
        <f>'REF-Bittrex'!O24</f>
        <v>btcbrk</v>
      </c>
      <c r="B24">
        <f>'REF-Bittrex'!P24</f>
        <v>3.79E-5</v>
      </c>
    </row>
    <row r="25" spans="1:2">
      <c r="A25" t="str">
        <f>'REF-Bittrex'!O25</f>
        <v>btcbrx</v>
      </c>
      <c r="B25">
        <f>'REF-Bittrex'!P25</f>
        <v>1.4440000000000001E-4</v>
      </c>
    </row>
    <row r="26" spans="1:2">
      <c r="A26" t="str">
        <f>'REF-Bittrex'!O26</f>
        <v>btcbsd</v>
      </c>
      <c r="B26">
        <f>'REF-Bittrex'!P26</f>
        <v>8.5539999999999998E-5</v>
      </c>
    </row>
    <row r="27" spans="1:2">
      <c r="A27" t="str">
        <f>'REF-Bittrex'!O27</f>
        <v>btcbta</v>
      </c>
      <c r="B27">
        <f>'REF-Bittrex'!P27</f>
        <v>1.2329999999999999E-4</v>
      </c>
    </row>
    <row r="28" spans="1:2">
      <c r="A28" t="str">
        <f>'REF-Bittrex'!O28</f>
        <v>btcbtcd</v>
      </c>
      <c r="B28">
        <f>'REF-Bittrex'!P28</f>
        <v>3.0562969999999998E-2</v>
      </c>
    </row>
    <row r="29" spans="1:2">
      <c r="A29" t="str">
        <f>'REF-Bittrex'!O29</f>
        <v>btcbts</v>
      </c>
      <c r="B29">
        <f>'REF-Bittrex'!P29</f>
        <v>3.3090000000000003E-5</v>
      </c>
    </row>
    <row r="30" spans="1:2">
      <c r="A30" t="str">
        <f>'REF-Bittrex'!O30</f>
        <v>btcburst</v>
      </c>
      <c r="B30">
        <f>'REF-Bittrex'!P30</f>
        <v>2.7199999999999998E-6</v>
      </c>
    </row>
    <row r="31" spans="1:2">
      <c r="A31" t="str">
        <f>'REF-Bittrex'!O31</f>
        <v>btcbyc</v>
      </c>
      <c r="B31">
        <f>'REF-Bittrex'!P31</f>
        <v>1.4279000000000001E-4</v>
      </c>
    </row>
    <row r="32" spans="1:2">
      <c r="A32" t="str">
        <f>'REF-Bittrex'!O32</f>
        <v>btccann</v>
      </c>
      <c r="B32">
        <f>'REF-Bittrex'!P32</f>
        <v>6.2899999999999999E-6</v>
      </c>
    </row>
    <row r="33" spans="1:2">
      <c r="A33" t="str">
        <f>'REF-Bittrex'!O33</f>
        <v>btccfi</v>
      </c>
      <c r="B33">
        <f>'REF-Bittrex'!P33</f>
        <v>3.6000000000000001E-5</v>
      </c>
    </row>
    <row r="34" spans="1:2">
      <c r="A34" t="str">
        <f>'REF-Bittrex'!O34</f>
        <v>btcclam</v>
      </c>
      <c r="B34">
        <f>'REF-Bittrex'!P34</f>
        <v>1.6615600000000001E-3</v>
      </c>
    </row>
    <row r="35" spans="1:2">
      <c r="A35" t="str">
        <f>'REF-Bittrex'!O35</f>
        <v>btccloak</v>
      </c>
      <c r="B35">
        <f>'REF-Bittrex'!P35</f>
        <v>1.25971E-3</v>
      </c>
    </row>
    <row r="36" spans="1:2">
      <c r="A36" t="str">
        <f>'REF-Bittrex'!O36</f>
        <v>btcclub</v>
      </c>
      <c r="B36">
        <f>'REF-Bittrex'!P36</f>
        <v>8.7299999999999994E-5</v>
      </c>
    </row>
    <row r="37" spans="1:2">
      <c r="A37" t="str">
        <f>'REF-Bittrex'!O37</f>
        <v>btccoval</v>
      </c>
      <c r="B37">
        <f>'REF-Bittrex'!P37</f>
        <v>1.3200000000000001E-6</v>
      </c>
    </row>
    <row r="38" spans="1:2">
      <c r="A38" t="str">
        <f>'REF-Bittrex'!O38</f>
        <v>btccpc</v>
      </c>
      <c r="B38">
        <f>'REF-Bittrex'!P38</f>
        <v>1.4097E-4</v>
      </c>
    </row>
    <row r="39" spans="1:2">
      <c r="A39" t="str">
        <f>'REF-Bittrex'!O39</f>
        <v>btccrb</v>
      </c>
      <c r="B39">
        <f>'REF-Bittrex'!P39</f>
        <v>1.6532E-4</v>
      </c>
    </row>
    <row r="40" spans="1:2">
      <c r="A40" t="str">
        <f>'REF-Bittrex'!O40</f>
        <v>btccrw</v>
      </c>
      <c r="B40">
        <f>'REF-Bittrex'!P40</f>
        <v>3.2283000000000002E-4</v>
      </c>
    </row>
    <row r="41" spans="1:2">
      <c r="A41" t="str">
        <f>'REF-Bittrex'!O41</f>
        <v>btccure</v>
      </c>
      <c r="B41">
        <f>'REF-Bittrex'!P41</f>
        <v>5.7030000000000001E-5</v>
      </c>
    </row>
    <row r="42" spans="1:2">
      <c r="A42" t="str">
        <f>'REF-Bittrex'!O42</f>
        <v>btccvc</v>
      </c>
      <c r="B42">
        <f>'REF-Bittrex'!P42</f>
        <v>9.3399999999999993E-5</v>
      </c>
    </row>
    <row r="43" spans="1:2">
      <c r="A43" t="str">
        <f>'REF-Bittrex'!O43</f>
        <v>btcdar</v>
      </c>
      <c r="B43">
        <f>'REF-Bittrex'!P43</f>
        <v>7.6019999999999994E-5</v>
      </c>
    </row>
    <row r="44" spans="1:2">
      <c r="A44" t="str">
        <f>'REF-Bittrex'!O44</f>
        <v>btcdash</v>
      </c>
      <c r="B44">
        <f>'REF-Bittrex'!P44</f>
        <v>7.4513689999999994E-2</v>
      </c>
    </row>
    <row r="45" spans="1:2">
      <c r="A45" t="str">
        <f>'REF-Bittrex'!O45</f>
        <v>btcdcr</v>
      </c>
      <c r="B45">
        <f>'REF-Bittrex'!P45</f>
        <v>7.4999999999999997E-3</v>
      </c>
    </row>
    <row r="46" spans="1:2">
      <c r="A46" t="str">
        <f>'REF-Bittrex'!O46</f>
        <v>btcdct</v>
      </c>
      <c r="B46">
        <f>'REF-Bittrex'!P46</f>
        <v>1.9002999999999999E-4</v>
      </c>
    </row>
    <row r="47" spans="1:2">
      <c r="A47" t="str">
        <f>'REF-Bittrex'!O47</f>
        <v>btcdgb</v>
      </c>
      <c r="B47">
        <f>'REF-Bittrex'!P47</f>
        <v>3.9999999999999998E-6</v>
      </c>
    </row>
    <row r="48" spans="1:2">
      <c r="A48" t="str">
        <f>'REF-Bittrex'!O48</f>
        <v>btcdgd</v>
      </c>
      <c r="B48">
        <f>'REF-Bittrex'!P48</f>
        <v>1.9379799999999999E-2</v>
      </c>
    </row>
    <row r="49" spans="1:2">
      <c r="A49" t="str">
        <f>'REF-Bittrex'!O49</f>
        <v>btcdmd</v>
      </c>
      <c r="B49">
        <f>'REF-Bittrex'!P49</f>
        <v>1.3744199999999999E-3</v>
      </c>
    </row>
    <row r="50" spans="1:2">
      <c r="A50" t="str">
        <f>'REF-Bittrex'!O50</f>
        <v>btcdoge</v>
      </c>
      <c r="B50">
        <f>'REF-Bittrex'!P50</f>
        <v>4.3000000000000001E-7</v>
      </c>
    </row>
    <row r="51" spans="1:2">
      <c r="A51" t="str">
        <f>'REF-Bittrex'!O51</f>
        <v>btcdope</v>
      </c>
      <c r="B51">
        <f>'REF-Bittrex'!P51</f>
        <v>6.0000000000000002E-6</v>
      </c>
    </row>
    <row r="52" spans="1:2">
      <c r="A52" t="str">
        <f>'REF-Bittrex'!O52</f>
        <v>btcdraco</v>
      </c>
      <c r="B52">
        <f>'REF-Bittrex'!P52</f>
        <v>3.0299999999999998E-6</v>
      </c>
    </row>
    <row r="53" spans="1:2">
      <c r="A53" t="str">
        <f>'REF-Bittrex'!O53</f>
        <v>btcdtb</v>
      </c>
      <c r="B53">
        <f>'REF-Bittrex'!P53</f>
        <v>1.3901000000000001E-4</v>
      </c>
    </row>
    <row r="54" spans="1:2">
      <c r="A54" t="str">
        <f>'REF-Bittrex'!O54</f>
        <v>btcdyn</v>
      </c>
      <c r="B54">
        <f>'REF-Bittrex'!P54</f>
        <v>5.1721999999999998E-4</v>
      </c>
    </row>
    <row r="55" spans="1:2">
      <c r="A55" t="str">
        <f>'REF-Bittrex'!O55</f>
        <v>btcebst</v>
      </c>
      <c r="B55">
        <f>'REF-Bittrex'!P55</f>
        <v>2.938E-5</v>
      </c>
    </row>
    <row r="56" spans="1:2">
      <c r="A56" t="str">
        <f>'REF-Bittrex'!O56</f>
        <v>btcedg</v>
      </c>
      <c r="B56">
        <f>'REF-Bittrex'!P56</f>
        <v>1.4397999999999999E-4</v>
      </c>
    </row>
    <row r="57" spans="1:2">
      <c r="A57" t="str">
        <f>'REF-Bittrex'!O57</f>
        <v>btcefl</v>
      </c>
      <c r="B57">
        <f>'REF-Bittrex'!P57</f>
        <v>2.7209999999999999E-5</v>
      </c>
    </row>
    <row r="58" spans="1:2">
      <c r="A58" t="str">
        <f>'REF-Bittrex'!O58</f>
        <v>btcegc</v>
      </c>
      <c r="B58">
        <f>'REF-Bittrex'!P58</f>
        <v>4.1E-5</v>
      </c>
    </row>
    <row r="59" spans="1:2">
      <c r="A59" t="str">
        <f>'REF-Bittrex'!O59</f>
        <v>btcemc</v>
      </c>
      <c r="B59">
        <f>'REF-Bittrex'!P59</f>
        <v>2.4628999999999997E-4</v>
      </c>
    </row>
    <row r="60" spans="1:2">
      <c r="A60" t="str">
        <f>'REF-Bittrex'!O60</f>
        <v>btcemc2</v>
      </c>
      <c r="B60">
        <f>'REF-Bittrex'!P60</f>
        <v>8.6400000000000003E-6</v>
      </c>
    </row>
    <row r="61" spans="1:2">
      <c r="A61" t="str">
        <f>'REF-Bittrex'!O61</f>
        <v>btcenrg</v>
      </c>
      <c r="B61">
        <f>'REF-Bittrex'!P61</f>
        <v>2.7759999999999998E-5</v>
      </c>
    </row>
    <row r="62" spans="1:2">
      <c r="A62" t="str">
        <f>'REF-Bittrex'!O62</f>
        <v>btcerc</v>
      </c>
      <c r="B62">
        <f>'REF-Bittrex'!P62</f>
        <v>1.0493999999999999E-4</v>
      </c>
    </row>
    <row r="63" spans="1:2">
      <c r="A63" t="str">
        <f>'REF-Bittrex'!O63</f>
        <v>btcetc</v>
      </c>
      <c r="B63">
        <f>'REF-Bittrex'!P63</f>
        <v>4.03609E-3</v>
      </c>
    </row>
    <row r="64" spans="1:2">
      <c r="A64" t="str">
        <f>'REF-Bittrex'!O64</f>
        <v>btceth</v>
      </c>
      <c r="B64">
        <f>'REF-Bittrex'!P64</f>
        <v>7.1600010000000006E-2</v>
      </c>
    </row>
    <row r="65" spans="1:2">
      <c r="A65" t="str">
        <f>'REF-Bittrex'!O65</f>
        <v>btcexcl</v>
      </c>
      <c r="B65">
        <f>'REF-Bittrex'!P65</f>
        <v>2.765E-4</v>
      </c>
    </row>
    <row r="66" spans="1:2">
      <c r="A66" t="str">
        <f>'REF-Bittrex'!O66</f>
        <v>btcexp</v>
      </c>
      <c r="B66">
        <f>'REF-Bittrex'!P66</f>
        <v>7.4001999999999998E-4</v>
      </c>
    </row>
    <row r="67" spans="1:2">
      <c r="A67" t="str">
        <f>'REF-Bittrex'!O67</f>
        <v>btcfair</v>
      </c>
      <c r="B67">
        <f>'REF-Bittrex'!P67</f>
        <v>1.3603000000000001E-4</v>
      </c>
    </row>
    <row r="68" spans="1:2">
      <c r="A68" t="str">
        <f>'REF-Bittrex'!O68</f>
        <v>btcfct</v>
      </c>
      <c r="B68">
        <f>'REF-Bittrex'!P68</f>
        <v>5.7199900000000003E-3</v>
      </c>
    </row>
    <row r="69" spans="1:2">
      <c r="A69" t="str">
        <f>'REF-Bittrex'!O69</f>
        <v>btcfldc</v>
      </c>
      <c r="B69">
        <f>'REF-Bittrex'!P69</f>
        <v>3.3100000000000001E-6</v>
      </c>
    </row>
    <row r="70" spans="1:2">
      <c r="A70" t="str">
        <f>'REF-Bittrex'!O70</f>
        <v>btcflo</v>
      </c>
      <c r="B70">
        <f>'REF-Bittrex'!P70</f>
        <v>1.7839999999999999E-5</v>
      </c>
    </row>
    <row r="71" spans="1:2">
      <c r="A71" t="str">
        <f>'REF-Bittrex'!O71</f>
        <v>btcftc</v>
      </c>
      <c r="B71">
        <f>'REF-Bittrex'!P71</f>
        <v>1.348E-5</v>
      </c>
    </row>
    <row r="72" spans="1:2">
      <c r="A72" t="str">
        <f>'REF-Bittrex'!O72</f>
        <v>btcfun</v>
      </c>
      <c r="B72">
        <f>'REF-Bittrex'!P72</f>
        <v>5.6999999999999996E-6</v>
      </c>
    </row>
    <row r="73" spans="1:2">
      <c r="A73" t="str">
        <f>'REF-Bittrex'!O73</f>
        <v>btcgam</v>
      </c>
      <c r="B73">
        <f>'REF-Bittrex'!P73</f>
        <v>2.20222E-3</v>
      </c>
    </row>
    <row r="74" spans="1:2">
      <c r="A74" t="str">
        <f>'REF-Bittrex'!O74</f>
        <v>btcgame</v>
      </c>
      <c r="B74">
        <f>'REF-Bittrex'!P74</f>
        <v>4.4439000000000002E-4</v>
      </c>
    </row>
    <row r="75" spans="1:2">
      <c r="A75" t="str">
        <f>'REF-Bittrex'!O75</f>
        <v>btcgbg</v>
      </c>
      <c r="B75">
        <f>'REF-Bittrex'!P75</f>
        <v>2.1109999999999999E-5</v>
      </c>
    </row>
    <row r="76" spans="1:2">
      <c r="A76" t="str">
        <f>'REF-Bittrex'!O76</f>
        <v>btcgbyte</v>
      </c>
      <c r="B76">
        <f>'REF-Bittrex'!P76</f>
        <v>6.8243170000000006E-2</v>
      </c>
    </row>
    <row r="77" spans="1:2">
      <c r="A77" t="str">
        <f>'REF-Bittrex'!O77</f>
        <v>btcgcr</v>
      </c>
      <c r="B77">
        <f>'REF-Bittrex'!P77</f>
        <v>1.099E-5</v>
      </c>
    </row>
    <row r="78" spans="1:2">
      <c r="A78" t="str">
        <f>'REF-Bittrex'!O78</f>
        <v>btcgeo</v>
      </c>
      <c r="B78">
        <f>'REF-Bittrex'!P78</f>
        <v>3.1402999999999997E-4</v>
      </c>
    </row>
    <row r="79" spans="1:2">
      <c r="A79" t="str">
        <f>'REF-Bittrex'!O79</f>
        <v>btcgld</v>
      </c>
      <c r="B79">
        <f>'REF-Bittrex'!P79</f>
        <v>2.3010000000000002E-5</v>
      </c>
    </row>
    <row r="80" spans="1:2">
      <c r="A80" t="str">
        <f>'REF-Bittrex'!O80</f>
        <v>btcgno</v>
      </c>
      <c r="B80">
        <f>'REF-Bittrex'!P80</f>
        <v>3.3135640000000001E-2</v>
      </c>
    </row>
    <row r="81" spans="1:2">
      <c r="A81" t="str">
        <f>'REF-Bittrex'!O81</f>
        <v>btcgnt</v>
      </c>
      <c r="B81">
        <f>'REF-Bittrex'!P81</f>
        <v>1.088E-4</v>
      </c>
    </row>
    <row r="82" spans="1:2">
      <c r="A82" t="str">
        <f>'REF-Bittrex'!O82</f>
        <v>btcgolos</v>
      </c>
      <c r="B82">
        <f>'REF-Bittrex'!P82</f>
        <v>3.0090000000000002E-5</v>
      </c>
    </row>
    <row r="83" spans="1:2">
      <c r="A83" t="str">
        <f>'REF-Bittrex'!O83</f>
        <v>btcgrc</v>
      </c>
      <c r="B83">
        <f>'REF-Bittrex'!P83</f>
        <v>8.3100000000000001E-6</v>
      </c>
    </row>
    <row r="84" spans="1:2">
      <c r="A84" t="str">
        <f>'REF-Bittrex'!O84</f>
        <v>btcgrs</v>
      </c>
      <c r="B84">
        <f>'REF-Bittrex'!P84</f>
        <v>2.7019999999999999E-5</v>
      </c>
    </row>
    <row r="85" spans="1:2">
      <c r="A85" t="str">
        <f>'REF-Bittrex'!O85</f>
        <v>btcgup</v>
      </c>
      <c r="B85">
        <f>'REF-Bittrex'!P85</f>
        <v>4.689E-5</v>
      </c>
    </row>
    <row r="86" spans="1:2">
      <c r="A86" t="str">
        <f>'REF-Bittrex'!O86</f>
        <v>btchkg</v>
      </c>
      <c r="B86">
        <f>'REF-Bittrex'!P86</f>
        <v>8.7499999999999992E-6</v>
      </c>
    </row>
    <row r="87" spans="1:2">
      <c r="A87" t="str">
        <f>'REF-Bittrex'!O87</f>
        <v>btchmq</v>
      </c>
      <c r="B87">
        <f>'REF-Bittrex'!P87</f>
        <v>2.6990000000000001E-5</v>
      </c>
    </row>
    <row r="88" spans="1:2">
      <c r="A88" t="str">
        <f>'REF-Bittrex'!O88</f>
        <v>btcincnt</v>
      </c>
      <c r="B88">
        <f>'REF-Bittrex'!P88</f>
        <v>4.2580000000000002E-5</v>
      </c>
    </row>
    <row r="89" spans="1:2">
      <c r="A89" t="str">
        <f>'REF-Bittrex'!O89</f>
        <v>btcinfx</v>
      </c>
      <c r="B89">
        <f>'REF-Bittrex'!P89</f>
        <v>1.161E-4</v>
      </c>
    </row>
    <row r="90" spans="1:2">
      <c r="A90" t="str">
        <f>'REF-Bittrex'!O90</f>
        <v>btcioc</v>
      </c>
      <c r="B90">
        <f>'REF-Bittrex'!P90</f>
        <v>5.4443999999999998E-4</v>
      </c>
    </row>
    <row r="91" spans="1:2">
      <c r="A91" t="str">
        <f>'REF-Bittrex'!O91</f>
        <v>btcion</v>
      </c>
      <c r="B91">
        <f>'REF-Bittrex'!P91</f>
        <v>3.1501000000000001E-4</v>
      </c>
    </row>
    <row r="92" spans="1:2">
      <c r="A92" t="str">
        <f>'REF-Bittrex'!O92</f>
        <v>btciop</v>
      </c>
      <c r="B92">
        <f>'REF-Bittrex'!P92</f>
        <v>1.5892E-4</v>
      </c>
    </row>
    <row r="93" spans="1:2">
      <c r="A93" t="str">
        <f>'REF-Bittrex'!O93</f>
        <v>btckmd</v>
      </c>
      <c r="B93">
        <f>'REF-Bittrex'!P93</f>
        <v>6.7009000000000003E-4</v>
      </c>
    </row>
    <row r="94" spans="1:2">
      <c r="A94" t="str">
        <f>'REF-Bittrex'!O94</f>
        <v>btckore</v>
      </c>
      <c r="B94">
        <f>'REF-Bittrex'!P94</f>
        <v>6.3161000000000001E-4</v>
      </c>
    </row>
    <row r="95" spans="1:2">
      <c r="A95" t="str">
        <f>'REF-Bittrex'!O95</f>
        <v>btclbc</v>
      </c>
      <c r="B95">
        <f>'REF-Bittrex'!P95</f>
        <v>7.3960000000000003E-5</v>
      </c>
    </row>
    <row r="96" spans="1:2">
      <c r="A96" t="str">
        <f>'REF-Bittrex'!O96</f>
        <v>btclgd</v>
      </c>
      <c r="B96">
        <f>'REF-Bittrex'!P96</f>
        <v>3.366E-4</v>
      </c>
    </row>
    <row r="97" spans="1:2">
      <c r="A97" t="str">
        <f>'REF-Bittrex'!O97</f>
        <v>btclmc</v>
      </c>
      <c r="B97">
        <f>'REF-Bittrex'!P97</f>
        <v>7.8199999999999997E-6</v>
      </c>
    </row>
    <row r="98" spans="1:2">
      <c r="A98" t="str">
        <f>'REF-Bittrex'!O98</f>
        <v>btclsk</v>
      </c>
      <c r="B98">
        <f>'REF-Bittrex'!P98</f>
        <v>1.57412E-3</v>
      </c>
    </row>
    <row r="99" spans="1:2">
      <c r="A99" t="str">
        <f>'REF-Bittrex'!O99</f>
        <v>btcltc</v>
      </c>
      <c r="B99">
        <f>'REF-Bittrex'!P99</f>
        <v>1.7300039999999999E-2</v>
      </c>
    </row>
    <row r="100" spans="1:2">
      <c r="A100" t="str">
        <f>'REF-Bittrex'!O100</f>
        <v>btclun</v>
      </c>
      <c r="B100">
        <f>'REF-Bittrex'!P100</f>
        <v>1.86594E-3</v>
      </c>
    </row>
    <row r="101" spans="1:2">
      <c r="A101" t="str">
        <f>'REF-Bittrex'!O101</f>
        <v>btcmaid</v>
      </c>
      <c r="B101">
        <f>'REF-Bittrex'!P101</f>
        <v>1.4611E-4</v>
      </c>
    </row>
    <row r="102" spans="1:2">
      <c r="A102" t="str">
        <f>'REF-Bittrex'!O102</f>
        <v>btcmco</v>
      </c>
      <c r="B102">
        <f>'REF-Bittrex'!P102</f>
        <v>2.0559300000000001E-3</v>
      </c>
    </row>
    <row r="103" spans="1:2">
      <c r="A103" t="str">
        <f>'REF-Bittrex'!O103</f>
        <v>btcmeme</v>
      </c>
      <c r="B103">
        <f>'REF-Bittrex'!P103</f>
        <v>3.3729999999999997E-5</v>
      </c>
    </row>
    <row r="104" spans="1:2">
      <c r="A104" t="str">
        <f>'REF-Bittrex'!O104</f>
        <v>btcmln</v>
      </c>
      <c r="B104">
        <f>'REF-Bittrex'!P104</f>
        <v>1.6261000000000001E-2</v>
      </c>
    </row>
    <row r="105" spans="1:2">
      <c r="A105" t="str">
        <f>'REF-Bittrex'!O105</f>
        <v>btcmona</v>
      </c>
      <c r="B105">
        <f>'REF-Bittrex'!P105</f>
        <v>1.2111E-4</v>
      </c>
    </row>
    <row r="106" spans="1:2">
      <c r="A106" t="str">
        <f>'REF-Bittrex'!O106</f>
        <v>btcmtl</v>
      </c>
      <c r="B106">
        <f>'REF-Bittrex'!P106</f>
        <v>2.49241E-3</v>
      </c>
    </row>
    <row r="107" spans="1:2">
      <c r="A107" t="str">
        <f>'REF-Bittrex'!O107</f>
        <v>btcmue</v>
      </c>
      <c r="B107">
        <f>'REF-Bittrex'!P107</f>
        <v>3.5299999999999997E-5</v>
      </c>
    </row>
    <row r="108" spans="1:2">
      <c r="A108" t="str">
        <f>'REF-Bittrex'!O108</f>
        <v>btcmusic</v>
      </c>
      <c r="B108">
        <f>'REF-Bittrex'!P108</f>
        <v>6.5599999999999999E-6</v>
      </c>
    </row>
    <row r="109" spans="1:2">
      <c r="A109" t="str">
        <f>'REF-Bittrex'!O109</f>
        <v>btcmyst</v>
      </c>
      <c r="B109">
        <f>'REF-Bittrex'!P109</f>
        <v>2.8237E-4</v>
      </c>
    </row>
    <row r="110" spans="1:2">
      <c r="A110" t="str">
        <f>'REF-Bittrex'!O110</f>
        <v>btcnav</v>
      </c>
      <c r="B110">
        <f>'REF-Bittrex'!P110</f>
        <v>3.3255999999999997E-4</v>
      </c>
    </row>
    <row r="111" spans="1:2">
      <c r="A111" t="str">
        <f>'REF-Bittrex'!O111</f>
        <v>btcnbt</v>
      </c>
      <c r="B111">
        <f>'REF-Bittrex'!P111</f>
        <v>2.2199000000000001E-4</v>
      </c>
    </row>
    <row r="112" spans="1:2">
      <c r="A112" t="str">
        <f>'REF-Bittrex'!O112</f>
        <v>btcneo</v>
      </c>
      <c r="B112">
        <f>'REF-Bittrex'!P112</f>
        <v>5.3639200000000003E-3</v>
      </c>
    </row>
    <row r="113" spans="1:2">
      <c r="A113" t="str">
        <f>'REF-Bittrex'!O113</f>
        <v>btcneos</v>
      </c>
      <c r="B113">
        <f>'REF-Bittrex'!P113</f>
        <v>9.0788000000000002E-4</v>
      </c>
    </row>
    <row r="114" spans="1:2">
      <c r="A114" t="str">
        <f>'REF-Bittrex'!O114</f>
        <v>btcnlg</v>
      </c>
      <c r="B114">
        <f>'REF-Bittrex'!P114</f>
        <v>2.8390000000000001E-5</v>
      </c>
    </row>
    <row r="115" spans="1:2">
      <c r="A115" t="str">
        <f>'REF-Bittrex'!O115</f>
        <v>btcnmr</v>
      </c>
      <c r="B115">
        <f>'REF-Bittrex'!P115</f>
        <v>4.6800000000000001E-3</v>
      </c>
    </row>
    <row r="116" spans="1:2">
      <c r="A116" t="str">
        <f>'REF-Bittrex'!O116</f>
        <v>btcnxc</v>
      </c>
      <c r="B116">
        <f>'REF-Bittrex'!P116</f>
        <v>5.6010000000000001E-5</v>
      </c>
    </row>
    <row r="117" spans="1:2">
      <c r="A117" t="str">
        <f>'REF-Bittrex'!O117</f>
        <v>btcnxs</v>
      </c>
      <c r="B117">
        <f>'REF-Bittrex'!P117</f>
        <v>7.0388000000000004E-4</v>
      </c>
    </row>
    <row r="118" spans="1:2">
      <c r="A118" t="str">
        <f>'REF-Bittrex'!O118</f>
        <v>btcnxt</v>
      </c>
      <c r="B118">
        <f>'REF-Bittrex'!P118</f>
        <v>2.4000000000000001E-5</v>
      </c>
    </row>
    <row r="119" spans="1:2">
      <c r="A119" t="str">
        <f>'REF-Bittrex'!O119</f>
        <v>btcok</v>
      </c>
      <c r="B119">
        <f>'REF-Bittrex'!P119</f>
        <v>6.5010000000000003E-5</v>
      </c>
    </row>
    <row r="120" spans="1:2">
      <c r="A120" t="str">
        <f>'REF-Bittrex'!O120</f>
        <v>btcomg</v>
      </c>
      <c r="B120">
        <f>'REF-Bittrex'!P120</f>
        <v>2.4700899999999999E-3</v>
      </c>
    </row>
    <row r="121" spans="1:2">
      <c r="A121" t="str">
        <f>'REF-Bittrex'!O121</f>
        <v>btcomni</v>
      </c>
      <c r="B121">
        <f>'REF-Bittrex'!P121</f>
        <v>6.9199999999999999E-3</v>
      </c>
    </row>
    <row r="122" spans="1:2">
      <c r="A122" t="str">
        <f>'REF-Bittrex'!O122</f>
        <v>btcpart</v>
      </c>
      <c r="B122">
        <f>'REF-Bittrex'!P122</f>
        <v>2.4501700000000002E-3</v>
      </c>
    </row>
    <row r="123" spans="1:2">
      <c r="A123" t="str">
        <f>'REF-Bittrex'!O123</f>
        <v>btcpay</v>
      </c>
      <c r="B123">
        <f>'REF-Bittrex'!P123</f>
        <v>6.5052999999999997E-4</v>
      </c>
    </row>
    <row r="124" spans="1:2">
      <c r="A124" t="str">
        <f>'REF-Bittrex'!O124</f>
        <v>btcpdc</v>
      </c>
      <c r="B124">
        <f>'REF-Bittrex'!P124</f>
        <v>4.6050000000000001E-5</v>
      </c>
    </row>
    <row r="125" spans="1:2">
      <c r="A125" t="str">
        <f>'REF-Bittrex'!O125</f>
        <v>btcpink</v>
      </c>
      <c r="B125">
        <f>'REF-Bittrex'!P125</f>
        <v>7.4599999999999997E-6</v>
      </c>
    </row>
    <row r="126" spans="1:2">
      <c r="A126" t="str">
        <f>'REF-Bittrex'!O126</f>
        <v>btcpivx</v>
      </c>
      <c r="B126">
        <f>'REF-Bittrex'!P126</f>
        <v>8.8051000000000004E-4</v>
      </c>
    </row>
    <row r="127" spans="1:2">
      <c r="A127" t="str">
        <f>'REF-Bittrex'!O127</f>
        <v>btcpkb</v>
      </c>
      <c r="B127">
        <f>'REF-Bittrex'!P127</f>
        <v>8.8250000000000004E-5</v>
      </c>
    </row>
    <row r="128" spans="1:2">
      <c r="A128" t="str">
        <f>'REF-Bittrex'!O128</f>
        <v>btcpot</v>
      </c>
      <c r="B128">
        <f>'REF-Bittrex'!P128</f>
        <v>2.1950000000000002E-5</v>
      </c>
    </row>
    <row r="129" spans="1:2">
      <c r="A129" t="str">
        <f>'REF-Bittrex'!O129</f>
        <v>btcppc</v>
      </c>
      <c r="B129">
        <f>'REF-Bittrex'!P129</f>
        <v>4.17E-4</v>
      </c>
    </row>
    <row r="130" spans="1:2">
      <c r="A130" t="str">
        <f>'REF-Bittrex'!O130</f>
        <v>btcptc</v>
      </c>
      <c r="B130">
        <f>'REF-Bittrex'!P130</f>
        <v>9.6600000000000007E-6</v>
      </c>
    </row>
    <row r="131" spans="1:2">
      <c r="A131" t="str">
        <f>'REF-Bittrex'!O131</f>
        <v>btcptoy</v>
      </c>
      <c r="B131">
        <f>'REF-Bittrex'!P131</f>
        <v>8.2000000000000001E-5</v>
      </c>
    </row>
    <row r="132" spans="1:2">
      <c r="A132" t="str">
        <f>'REF-Bittrex'!O132</f>
        <v>btcqrl</v>
      </c>
      <c r="B132">
        <f>'REF-Bittrex'!P132</f>
        <v>1.2851E-4</v>
      </c>
    </row>
    <row r="133" spans="1:2">
      <c r="A133" t="str">
        <f>'REF-Bittrex'!O133</f>
        <v>btcqtum</v>
      </c>
      <c r="B133">
        <f>'REF-Bittrex'!P133</f>
        <v>2.4320100000000001E-3</v>
      </c>
    </row>
    <row r="134" spans="1:2">
      <c r="A134" t="str">
        <f>'REF-Bittrex'!O134</f>
        <v>btcqwark</v>
      </c>
      <c r="B134">
        <f>'REF-Bittrex'!P134</f>
        <v>4.8040000000000001E-5</v>
      </c>
    </row>
    <row r="135" spans="1:2">
      <c r="A135" t="str">
        <f>'REF-Bittrex'!O135</f>
        <v>btcrads</v>
      </c>
      <c r="B135">
        <f>'REF-Bittrex'!P135</f>
        <v>1.4924999999999999E-3</v>
      </c>
    </row>
    <row r="136" spans="1:2">
      <c r="A136" t="str">
        <f>'REF-Bittrex'!O136</f>
        <v>btcrby</v>
      </c>
      <c r="B136">
        <f>'REF-Bittrex'!P136</f>
        <v>1.3391999999999999E-4</v>
      </c>
    </row>
    <row r="137" spans="1:2">
      <c r="A137" t="str">
        <f>'REF-Bittrex'!O137</f>
        <v>btcrdd</v>
      </c>
      <c r="B137">
        <f>'REF-Bittrex'!P137</f>
        <v>2.9999999999999999E-7</v>
      </c>
    </row>
    <row r="138" spans="1:2">
      <c r="A138" t="str">
        <f>'REF-Bittrex'!O138</f>
        <v>btcrep</v>
      </c>
      <c r="B138">
        <f>'REF-Bittrex'!P138</f>
        <v>5.1299600000000002E-3</v>
      </c>
    </row>
    <row r="139" spans="1:2">
      <c r="A139" t="str">
        <f>'REF-Bittrex'!O139</f>
        <v>btcrise</v>
      </c>
      <c r="B139">
        <f>'REF-Bittrex'!P139</f>
        <v>8.1199999999999995E-5</v>
      </c>
    </row>
    <row r="140" spans="1:2">
      <c r="A140" t="str">
        <f>'REF-Bittrex'!O140</f>
        <v>btcrlc</v>
      </c>
      <c r="B140">
        <f>'REF-Bittrex'!P140</f>
        <v>1.315E-4</v>
      </c>
    </row>
    <row r="141" spans="1:2">
      <c r="A141" t="str">
        <f>'REF-Bittrex'!O141</f>
        <v>btcsafex</v>
      </c>
      <c r="B141">
        <f>'REF-Bittrex'!P141</f>
        <v>2.52E-6</v>
      </c>
    </row>
    <row r="142" spans="1:2">
      <c r="A142" t="str">
        <f>'REF-Bittrex'!O142</f>
        <v>btcsbd</v>
      </c>
      <c r="B142">
        <f>'REF-Bittrex'!P142</f>
        <v>2.2556E-4</v>
      </c>
    </row>
    <row r="143" spans="1:2">
      <c r="A143" t="str">
        <f>'REF-Bittrex'!O143</f>
        <v>btcsc</v>
      </c>
      <c r="B143">
        <f>'REF-Bittrex'!P143</f>
        <v>1.6899999999999999E-6</v>
      </c>
    </row>
    <row r="144" spans="1:2">
      <c r="A144" t="str">
        <f>'REF-Bittrex'!O144</f>
        <v>btcseq</v>
      </c>
      <c r="B144">
        <f>'REF-Bittrex'!P144</f>
        <v>3.7169999999999998E-5</v>
      </c>
    </row>
    <row r="145" spans="1:2">
      <c r="A145" t="str">
        <f>'REF-Bittrex'!O145</f>
        <v>btcshift</v>
      </c>
      <c r="B145">
        <f>'REF-Bittrex'!P145</f>
        <v>3.4478999999999998E-4</v>
      </c>
    </row>
    <row r="146" spans="1:2">
      <c r="A146" t="str">
        <f>'REF-Bittrex'!O146</f>
        <v>btcsib</v>
      </c>
      <c r="B146">
        <f>'REF-Bittrex'!P146</f>
        <v>2.9200999999999999E-4</v>
      </c>
    </row>
    <row r="147" spans="1:2">
      <c r="A147" t="str">
        <f>'REF-Bittrex'!O147</f>
        <v>btcslr</v>
      </c>
      <c r="B147">
        <f>'REF-Bittrex'!P147</f>
        <v>4.333E-5</v>
      </c>
    </row>
    <row r="148" spans="1:2">
      <c r="A148" t="str">
        <f>'REF-Bittrex'!O148</f>
        <v>btcsls</v>
      </c>
      <c r="B148">
        <f>'REF-Bittrex'!P148</f>
        <v>3.5480500000000001E-3</v>
      </c>
    </row>
    <row r="149" spans="1:2">
      <c r="A149" t="str">
        <f>'REF-Bittrex'!O149</f>
        <v>btcsngls</v>
      </c>
      <c r="B149">
        <f>'REF-Bittrex'!P149</f>
        <v>3.0450000000000002E-5</v>
      </c>
    </row>
    <row r="150" spans="1:2">
      <c r="A150" t="str">
        <f>'REF-Bittrex'!O150</f>
        <v>btcsnrg</v>
      </c>
      <c r="B150">
        <f>'REF-Bittrex'!P150</f>
        <v>3.3960000000000001E-4</v>
      </c>
    </row>
    <row r="151" spans="1:2">
      <c r="A151" t="str">
        <f>'REF-Bittrex'!O151</f>
        <v>btcsnt</v>
      </c>
      <c r="B151">
        <f>'REF-Bittrex'!P151</f>
        <v>8.3100000000000001E-6</v>
      </c>
    </row>
    <row r="152" spans="1:2">
      <c r="A152" t="str">
        <f>'REF-Bittrex'!O152</f>
        <v>btcsphr</v>
      </c>
      <c r="B152">
        <f>'REF-Bittrex'!P152</f>
        <v>6.7500000000000004E-4</v>
      </c>
    </row>
    <row r="153" spans="1:2">
      <c r="A153" t="str">
        <f>'REF-Bittrex'!O153</f>
        <v>btcspr</v>
      </c>
      <c r="B153">
        <f>'REF-Bittrex'!P153</f>
        <v>4.2299999999999998E-4</v>
      </c>
    </row>
    <row r="154" spans="1:2">
      <c r="A154" t="str">
        <f>'REF-Bittrex'!O154</f>
        <v>btcstart</v>
      </c>
      <c r="B154">
        <f>'REF-Bittrex'!P154</f>
        <v>9.5100000000000004E-6</v>
      </c>
    </row>
    <row r="155" spans="1:2">
      <c r="A155" t="str">
        <f>'REF-Bittrex'!O155</f>
        <v>btcsteem</v>
      </c>
      <c r="B155">
        <f>'REF-Bittrex'!P155</f>
        <v>3.5409999999999999E-4</v>
      </c>
    </row>
    <row r="156" spans="1:2">
      <c r="A156" t="str">
        <f>'REF-Bittrex'!O156</f>
        <v>btcstorj</v>
      </c>
      <c r="B156">
        <f>'REF-Bittrex'!P156</f>
        <v>1.2999999999999999E-4</v>
      </c>
    </row>
    <row r="157" spans="1:2">
      <c r="A157" t="str">
        <f>'REF-Bittrex'!O157</f>
        <v>btcstrat</v>
      </c>
      <c r="B157">
        <f>'REF-Bittrex'!P157</f>
        <v>1.3240000000000001E-3</v>
      </c>
    </row>
    <row r="158" spans="1:2">
      <c r="A158" t="str">
        <f>'REF-Bittrex'!O158</f>
        <v>btcswift</v>
      </c>
      <c r="B158">
        <f>'REF-Bittrex'!P158</f>
        <v>2.9E-4</v>
      </c>
    </row>
    <row r="159" spans="1:2">
      <c r="A159" t="str">
        <f>'REF-Bittrex'!O159</f>
        <v>btcswt</v>
      </c>
      <c r="B159">
        <f>'REF-Bittrex'!P159</f>
        <v>3.8999999999999999E-4</v>
      </c>
    </row>
    <row r="160" spans="1:2">
      <c r="A160" t="str">
        <f>'REF-Bittrex'!O160</f>
        <v>btcsynx</v>
      </c>
      <c r="B160">
        <f>'REF-Bittrex'!P160</f>
        <v>4.3300000000000002E-5</v>
      </c>
    </row>
    <row r="161" spans="1:2">
      <c r="A161" t="str">
        <f>'REF-Bittrex'!O161</f>
        <v>btcsys</v>
      </c>
      <c r="B161">
        <f>'REF-Bittrex'!P161</f>
        <v>6.1589999999999998E-5</v>
      </c>
    </row>
    <row r="162" spans="1:2">
      <c r="A162" t="str">
        <f>'REF-Bittrex'!O162</f>
        <v>btcthc</v>
      </c>
      <c r="B162">
        <f>'REF-Bittrex'!P162</f>
        <v>2.3199999999999998E-6</v>
      </c>
    </row>
    <row r="163" spans="1:2">
      <c r="A163" t="str">
        <f>'REF-Bittrex'!O163</f>
        <v>btctime</v>
      </c>
      <c r="B163">
        <f>'REF-Bittrex'!P163</f>
        <v>4.8299900000000002E-3</v>
      </c>
    </row>
    <row r="164" spans="1:2">
      <c r="A164" t="str">
        <f>'REF-Bittrex'!O164</f>
        <v>btctkn</v>
      </c>
      <c r="B164">
        <f>'REF-Bittrex'!P164</f>
        <v>3.5136E-4</v>
      </c>
    </row>
    <row r="165" spans="1:2">
      <c r="A165" t="str">
        <f>'REF-Bittrex'!O165</f>
        <v>btctks</v>
      </c>
      <c r="B165">
        <f>'REF-Bittrex'!P165</f>
        <v>4.9640000000000003E-4</v>
      </c>
    </row>
    <row r="166" spans="1:2">
      <c r="A166" t="str">
        <f>'REF-Bittrex'!O166</f>
        <v>btctrig</v>
      </c>
      <c r="B166">
        <f>'REF-Bittrex'!P166</f>
        <v>2.24E-4</v>
      </c>
    </row>
    <row r="167" spans="1:2">
      <c r="A167" t="str">
        <f>'REF-Bittrex'!O167</f>
        <v>btctrst</v>
      </c>
      <c r="B167">
        <f>'REF-Bittrex'!P167</f>
        <v>6.2700000000000006E-5</v>
      </c>
    </row>
    <row r="168" spans="1:2">
      <c r="A168" t="str">
        <f>'REF-Bittrex'!O168</f>
        <v>btctrust</v>
      </c>
      <c r="B168">
        <f>'REF-Bittrex'!P168</f>
        <v>1.27E-5</v>
      </c>
    </row>
    <row r="169" spans="1:2">
      <c r="A169" t="str">
        <f>'REF-Bittrex'!O169</f>
        <v>btctx</v>
      </c>
      <c r="B169">
        <f>'REF-Bittrex'!P169</f>
        <v>8.9649999999999997E-5</v>
      </c>
    </row>
    <row r="170" spans="1:2">
      <c r="A170" t="str">
        <f>'REF-Bittrex'!O170</f>
        <v>btcubq</v>
      </c>
      <c r="B170">
        <f>'REF-Bittrex'!P170</f>
        <v>5.3748999999999995E-4</v>
      </c>
    </row>
    <row r="171" spans="1:2">
      <c r="A171" t="str">
        <f>'REF-Bittrex'!O171</f>
        <v>btcunb</v>
      </c>
      <c r="B171">
        <f>'REF-Bittrex'!P171</f>
        <v>5.9589999999999997E-5</v>
      </c>
    </row>
    <row r="172" spans="1:2">
      <c r="A172" t="str">
        <f>'REF-Bittrex'!O172</f>
        <v>btcuno</v>
      </c>
      <c r="B172">
        <f>'REF-Bittrex'!P172</f>
        <v>1.987152E-2</v>
      </c>
    </row>
    <row r="173" spans="1:2">
      <c r="A173" t="str">
        <f>'REF-Bittrex'!O173</f>
        <v>btcvia</v>
      </c>
      <c r="B173">
        <f>'REF-Bittrex'!P173</f>
        <v>3.0180000000000002E-4</v>
      </c>
    </row>
    <row r="174" spans="1:2">
      <c r="A174" t="str">
        <f>'REF-Bittrex'!O174</f>
        <v>btcvox</v>
      </c>
      <c r="B174">
        <f>'REF-Bittrex'!P174</f>
        <v>1.2459999999999999E-5</v>
      </c>
    </row>
    <row r="175" spans="1:2">
      <c r="A175" t="str">
        <f>'REF-Bittrex'!O175</f>
        <v>btcvrc</v>
      </c>
      <c r="B175">
        <f>'REF-Bittrex'!P175</f>
        <v>8.8999999999999995E-5</v>
      </c>
    </row>
    <row r="176" spans="1:2">
      <c r="A176" t="str">
        <f>'REF-Bittrex'!O176</f>
        <v>btcvrm</v>
      </c>
      <c r="B176">
        <f>'REF-Bittrex'!P176</f>
        <v>5.2300000000000003E-4</v>
      </c>
    </row>
    <row r="177" spans="1:2">
      <c r="A177" t="str">
        <f>'REF-Bittrex'!O177</f>
        <v>btcvtc</v>
      </c>
      <c r="B177">
        <f>'REF-Bittrex'!P177</f>
        <v>2.0704999999999999E-4</v>
      </c>
    </row>
    <row r="178" spans="1:2">
      <c r="A178" t="str">
        <f>'REF-Bittrex'!O178</f>
        <v>btcvtr</v>
      </c>
      <c r="B178">
        <f>'REF-Bittrex'!P178</f>
        <v>4.685E-5</v>
      </c>
    </row>
    <row r="179" spans="1:2">
      <c r="A179" t="str">
        <f>'REF-Bittrex'!O179</f>
        <v>btcwaves</v>
      </c>
      <c r="B179">
        <f>'REF-Bittrex'!P179</f>
        <v>1.08314E-3</v>
      </c>
    </row>
    <row r="180" spans="1:2">
      <c r="A180" t="str">
        <f>'REF-Bittrex'!O180</f>
        <v>btcwings</v>
      </c>
      <c r="B180">
        <f>'REF-Bittrex'!P180</f>
        <v>1.5421E-4</v>
      </c>
    </row>
    <row r="181" spans="1:2">
      <c r="A181" t="str">
        <f>'REF-Bittrex'!O181</f>
        <v>btcxaur</v>
      </c>
      <c r="B181">
        <f>'REF-Bittrex'!P181</f>
        <v>3.9270000000000002E-5</v>
      </c>
    </row>
    <row r="182" spans="1:2">
      <c r="A182" t="str">
        <f>'REF-Bittrex'!O182</f>
        <v>btcxbb</v>
      </c>
      <c r="B182">
        <f>'REF-Bittrex'!P182</f>
        <v>5.605E-5</v>
      </c>
    </row>
    <row r="183" spans="1:2">
      <c r="A183" t="str">
        <f>'REF-Bittrex'!O183</f>
        <v>btcxcp</v>
      </c>
      <c r="B183">
        <f>'REF-Bittrex'!P183</f>
        <v>2.8997200000000002E-3</v>
      </c>
    </row>
    <row r="184" spans="1:2">
      <c r="A184" t="str">
        <f>'REF-Bittrex'!O184</f>
        <v>btcxdn</v>
      </c>
      <c r="B184">
        <f>'REF-Bittrex'!P184</f>
        <v>5.6000000000000004E-7</v>
      </c>
    </row>
    <row r="185" spans="1:2">
      <c r="A185" t="str">
        <f>'REF-Bittrex'!O185</f>
        <v>btcxel</v>
      </c>
      <c r="B185">
        <f>'REF-Bittrex'!P185</f>
        <v>1.0998E-4</v>
      </c>
    </row>
    <row r="186" spans="1:2">
      <c r="A186" t="str">
        <f>'REF-Bittrex'!O186</f>
        <v>btcxem</v>
      </c>
      <c r="B186">
        <f>'REF-Bittrex'!P186</f>
        <v>6.402E-5</v>
      </c>
    </row>
    <row r="187" spans="1:2">
      <c r="A187" t="str">
        <f>'REF-Bittrex'!O187</f>
        <v>btcxlm</v>
      </c>
      <c r="B187">
        <f>'REF-Bittrex'!P187</f>
        <v>4.3699999999999997E-6</v>
      </c>
    </row>
    <row r="188" spans="1:2">
      <c r="A188" t="str">
        <f>'REF-Bittrex'!O188</f>
        <v>btcxmg</v>
      </c>
      <c r="B188">
        <f>'REF-Bittrex'!P188</f>
        <v>5.0939999999999997E-5</v>
      </c>
    </row>
    <row r="189" spans="1:2">
      <c r="A189" t="str">
        <f>'REF-Bittrex'!O189</f>
        <v>btcxmr</v>
      </c>
      <c r="B189">
        <f>'REF-Bittrex'!P189</f>
        <v>2.5976349999999999E-2</v>
      </c>
    </row>
    <row r="190" spans="1:2">
      <c r="A190" t="str">
        <f>'REF-Bittrex'!O190</f>
        <v>btcxmy</v>
      </c>
      <c r="B190">
        <f>'REF-Bittrex'!P190</f>
        <v>5.9999999999999997E-7</v>
      </c>
    </row>
    <row r="191" spans="1:2">
      <c r="A191" t="str">
        <f>'REF-Bittrex'!O191</f>
        <v>btcxrp</v>
      </c>
      <c r="B191">
        <f>'REF-Bittrex'!P191</f>
        <v>4.9150000000000002E-5</v>
      </c>
    </row>
    <row r="192" spans="1:2">
      <c r="A192" t="str">
        <f>'REF-Bittrex'!O192</f>
        <v>btcxst</v>
      </c>
      <c r="B192">
        <f>'REF-Bittrex'!P192</f>
        <v>3.6069999999999999E-5</v>
      </c>
    </row>
    <row r="193" spans="1:2">
      <c r="A193" t="str">
        <f>'REF-Bittrex'!O193</f>
        <v>btcxvc</v>
      </c>
      <c r="B193">
        <f>'REF-Bittrex'!P193</f>
        <v>1.0787E-4</v>
      </c>
    </row>
    <row r="194" spans="1:2">
      <c r="A194" t="str">
        <f>'REF-Bittrex'!O194</f>
        <v>btcxvg</v>
      </c>
      <c r="B194">
        <f>'REF-Bittrex'!P194</f>
        <v>1.6199999999999999E-6</v>
      </c>
    </row>
    <row r="195" spans="1:2">
      <c r="A195" t="str">
        <f>'REF-Bittrex'!O195</f>
        <v>btcxwc</v>
      </c>
      <c r="B195">
        <f>'REF-Bittrex'!P195</f>
        <v>3.0000000000000001E-6</v>
      </c>
    </row>
    <row r="196" spans="1:2">
      <c r="A196" t="str">
        <f>'REF-Bittrex'!O196</f>
        <v>btcxzc</v>
      </c>
      <c r="B196">
        <f>'REF-Bittrex'!P196</f>
        <v>2.4677599999999998E-3</v>
      </c>
    </row>
    <row r="197" spans="1:2">
      <c r="A197" t="str">
        <f>'REF-Bittrex'!O197</f>
        <v>btczcl</v>
      </c>
      <c r="B197">
        <f>'REF-Bittrex'!P197</f>
        <v>4.4611E-4</v>
      </c>
    </row>
    <row r="198" spans="1:2">
      <c r="A198" t="str">
        <f>'REF-Bittrex'!O198</f>
        <v>btczec</v>
      </c>
      <c r="B198">
        <f>'REF-Bittrex'!P198</f>
        <v>5.2249999999999998E-2</v>
      </c>
    </row>
    <row r="199" spans="1:2">
      <c r="A199" t="str">
        <f>'REF-Bittrex'!O199</f>
        <v>btczen</v>
      </c>
      <c r="B199">
        <f>'REF-Bittrex'!P199</f>
        <v>2.1780800000000002E-3</v>
      </c>
    </row>
    <row r="200" spans="1:2">
      <c r="A200" t="str">
        <f>'REF-Bittrex'!O200</f>
        <v>eth1st</v>
      </c>
      <c r="B200">
        <f>'REF-Bittrex'!P200</f>
        <v>1.28023E-3</v>
      </c>
    </row>
    <row r="201" spans="1:2">
      <c r="A201" t="str">
        <f>'REF-Bittrex'!O201</f>
        <v>ethadt</v>
      </c>
      <c r="B201">
        <f>'REF-Bittrex'!P201</f>
        <v>1.4731999999999999E-4</v>
      </c>
    </row>
    <row r="202" spans="1:2">
      <c r="A202" t="str">
        <f>'REF-Bittrex'!O202</f>
        <v>ethadx</v>
      </c>
      <c r="B202">
        <f>'REF-Bittrex'!P202</f>
        <v>2.9451999999999998E-3</v>
      </c>
    </row>
    <row r="203" spans="1:2">
      <c r="A203" t="str">
        <f>'REF-Bittrex'!O203</f>
        <v>ethant</v>
      </c>
      <c r="B203">
        <f>'REF-Bittrex'!P203</f>
        <v>6.7561499999999998E-3</v>
      </c>
    </row>
    <row r="204" spans="1:2">
      <c r="A204" t="str">
        <f>'REF-Bittrex'!O204</f>
        <v>ethbat</v>
      </c>
      <c r="B204">
        <f>'REF-Bittrex'!P204</f>
        <v>6.7995000000000002E-4</v>
      </c>
    </row>
    <row r="205" spans="1:2">
      <c r="A205" t="str">
        <f>'REF-Bittrex'!O205</f>
        <v>ethbcc</v>
      </c>
      <c r="B205">
        <f>'REF-Bittrex'!P205</f>
        <v>2.1100545199999998</v>
      </c>
    </row>
    <row r="206" spans="1:2">
      <c r="A206" t="str">
        <f>'REF-Bittrex'!O206</f>
        <v>ethbnt</v>
      </c>
      <c r="B206">
        <f>'REF-Bittrex'!P206</f>
        <v>8.0293199999999995E-3</v>
      </c>
    </row>
    <row r="207" spans="1:2">
      <c r="A207" t="str">
        <f>'REF-Bittrex'!O207</f>
        <v>ethbts</v>
      </c>
      <c r="B207">
        <f>'REF-Bittrex'!P207</f>
        <v>4.6000000000000001E-4</v>
      </c>
    </row>
    <row r="208" spans="1:2">
      <c r="A208" t="str">
        <f>'REF-Bittrex'!O208</f>
        <v>ethcfi</v>
      </c>
      <c r="B208">
        <f>'REF-Bittrex'!P208</f>
        <v>5.1188999999999998E-4</v>
      </c>
    </row>
    <row r="209" spans="1:2">
      <c r="A209" t="str">
        <f>'REF-Bittrex'!O209</f>
        <v>ethcrb</v>
      </c>
      <c r="B209">
        <f>'REF-Bittrex'!P209</f>
        <v>2.2942499999999998E-3</v>
      </c>
    </row>
    <row r="210" spans="1:2">
      <c r="A210" t="str">
        <f>'REF-Bittrex'!O210</f>
        <v>ethcvc</v>
      </c>
      <c r="B210">
        <f>'REF-Bittrex'!P210</f>
        <v>1.2999999999999999E-3</v>
      </c>
    </row>
    <row r="211" spans="1:2">
      <c r="A211" t="str">
        <f>'REF-Bittrex'!O211</f>
        <v>ethdash</v>
      </c>
      <c r="B211">
        <f>'REF-Bittrex'!P211</f>
        <v>1.03647501</v>
      </c>
    </row>
    <row r="212" spans="1:2">
      <c r="A212" t="str">
        <f>'REF-Bittrex'!O212</f>
        <v>ethdgb</v>
      </c>
      <c r="B212">
        <f>'REF-Bittrex'!P212</f>
        <v>5.5080000000000001E-5</v>
      </c>
    </row>
    <row r="213" spans="1:2">
      <c r="A213" t="str">
        <f>'REF-Bittrex'!O213</f>
        <v>ethdgd</v>
      </c>
      <c r="B213">
        <f>'REF-Bittrex'!P213</f>
        <v>0.26832450000000002</v>
      </c>
    </row>
    <row r="214" spans="1:2">
      <c r="A214" t="str">
        <f>'REF-Bittrex'!O214</f>
        <v>ethetc</v>
      </c>
      <c r="B214">
        <f>'REF-Bittrex'!P214</f>
        <v>5.6670989999999997E-2</v>
      </c>
    </row>
    <row r="215" spans="1:2">
      <c r="A215" t="str">
        <f>'REF-Bittrex'!O215</f>
        <v>ethfct</v>
      </c>
      <c r="B215">
        <f>'REF-Bittrex'!P215</f>
        <v>0.08</v>
      </c>
    </row>
    <row r="216" spans="1:2">
      <c r="A216" t="str">
        <f>'REF-Bittrex'!O216</f>
        <v>ethfun</v>
      </c>
      <c r="B216">
        <f>'REF-Bittrex'!P216</f>
        <v>8.0000000000000007E-5</v>
      </c>
    </row>
    <row r="217" spans="1:2">
      <c r="A217" t="str">
        <f>'REF-Bittrex'!O217</f>
        <v>ethgno</v>
      </c>
      <c r="B217">
        <f>'REF-Bittrex'!P217</f>
        <v>0.44899798000000002</v>
      </c>
    </row>
    <row r="218" spans="1:2">
      <c r="A218" t="str">
        <f>'REF-Bittrex'!O218</f>
        <v>ethgnt</v>
      </c>
      <c r="B218">
        <f>'REF-Bittrex'!P218</f>
        <v>1.5099899999999999E-3</v>
      </c>
    </row>
    <row r="219" spans="1:2">
      <c r="A219" t="str">
        <f>'REF-Bittrex'!O219</f>
        <v>ethgup</v>
      </c>
      <c r="B219">
        <f>'REF-Bittrex'!P219</f>
        <v>6.6144999999999995E-4</v>
      </c>
    </row>
    <row r="220" spans="1:2">
      <c r="A220" t="str">
        <f>'REF-Bittrex'!O220</f>
        <v>ethhmq</v>
      </c>
      <c r="B220">
        <f>'REF-Bittrex'!P220</f>
        <v>3.7278000000000002E-4</v>
      </c>
    </row>
    <row r="221" spans="1:2">
      <c r="A221" t="str">
        <f>'REF-Bittrex'!O221</f>
        <v>ethlgd</v>
      </c>
      <c r="B221">
        <f>'REF-Bittrex'!P221</f>
        <v>4.9383200000000004E-3</v>
      </c>
    </row>
    <row r="222" spans="1:2">
      <c r="A222" t="str">
        <f>'REF-Bittrex'!O222</f>
        <v>ethltc</v>
      </c>
      <c r="B222">
        <f>'REF-Bittrex'!P222</f>
        <v>0.24198652000000001</v>
      </c>
    </row>
    <row r="223" spans="1:2">
      <c r="A223" t="str">
        <f>'REF-Bittrex'!O223</f>
        <v>ethlun</v>
      </c>
      <c r="B223">
        <f>'REF-Bittrex'!P223</f>
        <v>2.5899999999999999E-2</v>
      </c>
    </row>
    <row r="224" spans="1:2">
      <c r="A224" t="str">
        <f>'REF-Bittrex'!O224</f>
        <v>ethmco</v>
      </c>
      <c r="B224">
        <f>'REF-Bittrex'!P224</f>
        <v>2.8500000000000001E-2</v>
      </c>
    </row>
    <row r="225" spans="1:2">
      <c r="A225" t="str">
        <f>'REF-Bittrex'!O225</f>
        <v>ethmtl</v>
      </c>
      <c r="B225">
        <f>'REF-Bittrex'!P225</f>
        <v>3.5838490000000001E-2</v>
      </c>
    </row>
    <row r="226" spans="1:2">
      <c r="A226" t="str">
        <f>'REF-Bittrex'!O226</f>
        <v>ethmyst</v>
      </c>
      <c r="B226">
        <f>'REF-Bittrex'!P226</f>
        <v>3.8370000000000001E-3</v>
      </c>
    </row>
    <row r="227" spans="1:2">
      <c r="A227" t="str">
        <f>'REF-Bittrex'!O227</f>
        <v>ethneo</v>
      </c>
      <c r="B227">
        <f>'REF-Bittrex'!P227</f>
        <v>7.4000079999999996E-2</v>
      </c>
    </row>
    <row r="228" spans="1:2">
      <c r="A228" t="str">
        <f>'REF-Bittrex'!O228</f>
        <v>ethnmr</v>
      </c>
      <c r="B228">
        <f>'REF-Bittrex'!P228</f>
        <v>6.4649999999999999E-2</v>
      </c>
    </row>
    <row r="229" spans="1:2">
      <c r="A229" t="str">
        <f>'REF-Bittrex'!O229</f>
        <v>ethomg</v>
      </c>
      <c r="B229">
        <f>'REF-Bittrex'!P229</f>
        <v>3.4387840000000003E-2</v>
      </c>
    </row>
    <row r="230" spans="1:2">
      <c r="A230" t="str">
        <f>'REF-Bittrex'!O230</f>
        <v>ethpay</v>
      </c>
      <c r="B230">
        <f>'REF-Bittrex'!P230</f>
        <v>9.1000000000000004E-3</v>
      </c>
    </row>
    <row r="231" spans="1:2">
      <c r="A231" t="str">
        <f>'REF-Bittrex'!O231</f>
        <v>ethptoy</v>
      </c>
      <c r="B231">
        <f>'REF-Bittrex'!P231</f>
        <v>1.1519200000000001E-3</v>
      </c>
    </row>
    <row r="232" spans="1:2">
      <c r="A232" t="str">
        <f>'REF-Bittrex'!O232</f>
        <v>ethqrl</v>
      </c>
      <c r="B232">
        <f>'REF-Bittrex'!P232</f>
        <v>1.7500199999999999E-3</v>
      </c>
    </row>
    <row r="233" spans="1:2">
      <c r="A233" t="str">
        <f>'REF-Bittrex'!O233</f>
        <v>ethqtum</v>
      </c>
      <c r="B233">
        <f>'REF-Bittrex'!P233</f>
        <v>3.4100890000000002E-2</v>
      </c>
    </row>
    <row r="234" spans="1:2">
      <c r="A234" t="str">
        <f>'REF-Bittrex'!O234</f>
        <v>ethrep</v>
      </c>
      <c r="B234">
        <f>'REF-Bittrex'!P234</f>
        <v>7.1374560000000004E-2</v>
      </c>
    </row>
    <row r="235" spans="1:2">
      <c r="A235" t="str">
        <f>'REF-Bittrex'!O235</f>
        <v>ethrlc</v>
      </c>
      <c r="B235">
        <f>'REF-Bittrex'!P235</f>
        <v>1.79999E-3</v>
      </c>
    </row>
    <row r="236" spans="1:2">
      <c r="A236" t="str">
        <f>'REF-Bittrex'!O236</f>
        <v>ethsc</v>
      </c>
      <c r="B236">
        <f>'REF-Bittrex'!P236</f>
        <v>2.3750000000000001E-5</v>
      </c>
    </row>
    <row r="237" spans="1:2">
      <c r="A237" t="str">
        <f>'REF-Bittrex'!O237</f>
        <v>ethsngls</v>
      </c>
      <c r="B237">
        <f>'REF-Bittrex'!P237</f>
        <v>4.3088000000000002E-4</v>
      </c>
    </row>
    <row r="238" spans="1:2">
      <c r="A238" t="str">
        <f>'REF-Bittrex'!O238</f>
        <v>ethsnt</v>
      </c>
      <c r="B238">
        <f>'REF-Bittrex'!P238</f>
        <v>1.15E-4</v>
      </c>
    </row>
    <row r="239" spans="1:2">
      <c r="A239" t="str">
        <f>'REF-Bittrex'!O239</f>
        <v>ethstorj</v>
      </c>
      <c r="B239">
        <f>'REF-Bittrex'!P239</f>
        <v>1.78236E-3</v>
      </c>
    </row>
    <row r="240" spans="1:2">
      <c r="A240" t="str">
        <f>'REF-Bittrex'!O240</f>
        <v>ethstrat</v>
      </c>
      <c r="B240">
        <f>'REF-Bittrex'!P240</f>
        <v>1.8499999999999999E-2</v>
      </c>
    </row>
    <row r="241" spans="1:2">
      <c r="A241" t="str">
        <f>'REF-Bittrex'!O241</f>
        <v>ethtime</v>
      </c>
      <c r="B241">
        <f>'REF-Bittrex'!P241</f>
        <v>6.8708610000000003E-2</v>
      </c>
    </row>
    <row r="242" spans="1:2">
      <c r="A242" t="str">
        <f>'REF-Bittrex'!O242</f>
        <v>ethtkn</v>
      </c>
      <c r="B242">
        <f>'REF-Bittrex'!P242</f>
        <v>4.8936500000000003E-3</v>
      </c>
    </row>
    <row r="243" spans="1:2">
      <c r="A243" t="str">
        <f>'REF-Bittrex'!O243</f>
        <v>ethtrst</v>
      </c>
      <c r="B243">
        <f>'REF-Bittrex'!P243</f>
        <v>8.7000000000000001E-4</v>
      </c>
    </row>
    <row r="244" spans="1:2">
      <c r="A244" t="str">
        <f>'REF-Bittrex'!O244</f>
        <v>ethwaves</v>
      </c>
      <c r="B244">
        <f>'REF-Bittrex'!P244</f>
        <v>1.5421239999999999E-2</v>
      </c>
    </row>
    <row r="245" spans="1:2">
      <c r="A245" t="str">
        <f>'REF-Bittrex'!O245</f>
        <v>ethwings</v>
      </c>
      <c r="B245">
        <f>'REF-Bittrex'!P245</f>
        <v>2.1490200000000002E-3</v>
      </c>
    </row>
    <row r="246" spans="1:2">
      <c r="A246" t="str">
        <f>'REF-Bittrex'!O246</f>
        <v>ethxem</v>
      </c>
      <c r="B246">
        <f>'REF-Bittrex'!P246</f>
        <v>9.0025999999999995E-4</v>
      </c>
    </row>
    <row r="247" spans="1:2">
      <c r="A247" t="str">
        <f>'REF-Bittrex'!O247</f>
        <v>ethxlm</v>
      </c>
      <c r="B247">
        <f>'REF-Bittrex'!P247</f>
        <v>5.9700000000000001E-5</v>
      </c>
    </row>
    <row r="248" spans="1:2">
      <c r="A248" t="str">
        <f>'REF-Bittrex'!O248</f>
        <v>ethxmr</v>
      </c>
      <c r="B248">
        <f>'REF-Bittrex'!P248</f>
        <v>0.36200067000000002</v>
      </c>
    </row>
    <row r="249" spans="1:2">
      <c r="A249" t="str">
        <f>'REF-Bittrex'!O249</f>
        <v>ethxrp</v>
      </c>
      <c r="B249">
        <f>'REF-Bittrex'!P249</f>
        <v>6.8964000000000004E-4</v>
      </c>
    </row>
    <row r="250" spans="1:2">
      <c r="A250" t="str">
        <f>'REF-Bittrex'!O250</f>
        <v>ethzec</v>
      </c>
      <c r="B250">
        <f>'REF-Bittrex'!P250</f>
        <v>0.73546566000000002</v>
      </c>
    </row>
    <row r="251" spans="1:2">
      <c r="A251" t="str">
        <f>'REF-Bittrex'!O251</f>
        <v>usdtbcc</v>
      </c>
      <c r="B251">
        <f>'REF-Bittrex'!P251</f>
        <v>690</v>
      </c>
    </row>
    <row r="252" spans="1:2">
      <c r="A252" t="str">
        <f>'REF-Bittrex'!O252</f>
        <v>usdtbtc</v>
      </c>
      <c r="B252">
        <f>'REF-Bittrex'!P252</f>
        <v>4550</v>
      </c>
    </row>
    <row r="253" spans="1:2">
      <c r="A253" t="str">
        <f>'REF-Bittrex'!O253</f>
        <v>usdtdash</v>
      </c>
      <c r="B253">
        <f>'REF-Bittrex'!P253</f>
        <v>338.85</v>
      </c>
    </row>
    <row r="254" spans="1:2">
      <c r="A254" t="str">
        <f>'REF-Bittrex'!O254</f>
        <v>usdtetc</v>
      </c>
      <c r="B254">
        <f>'REF-Bittrex'!P254</f>
        <v>18.51456774</v>
      </c>
    </row>
    <row r="255" spans="1:2">
      <c r="A255" t="str">
        <f>'REF-Bittrex'!O255</f>
        <v>usdteth</v>
      </c>
      <c r="B255">
        <f>'REF-Bittrex'!P255</f>
        <v>324.14</v>
      </c>
    </row>
    <row r="256" spans="1:2">
      <c r="A256" t="str">
        <f>'REF-Bittrex'!O256</f>
        <v>usdtltc</v>
      </c>
      <c r="B256">
        <f>'REF-Bittrex'!P256</f>
        <v>78.457999999999998</v>
      </c>
    </row>
    <row r="257" spans="1:2">
      <c r="A257" t="str">
        <f>'REF-Bittrex'!O257</f>
        <v>usdtneo</v>
      </c>
      <c r="B257">
        <f>'REF-Bittrex'!P257</f>
        <v>24.151</v>
      </c>
    </row>
    <row r="258" spans="1:2">
      <c r="A258" t="str">
        <f>'REF-Bittrex'!O260</f>
        <v>usdtzec</v>
      </c>
      <c r="B258">
        <f>'REF-Bittrex'!P260</f>
        <v>236.61000002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B21"/>
  <sheetViews>
    <sheetView workbookViewId="0">
      <selection sqref="A1:A1048576"/>
    </sheetView>
  </sheetViews>
  <sheetFormatPr defaultRowHeight="13.8"/>
  <cols>
    <col min="2" max="2" width="12.59765625" customWidth="1"/>
  </cols>
  <sheetData>
    <row r="1" spans="1:2">
      <c r="A1" t="s">
        <v>18</v>
      </c>
      <c r="B1" t="s">
        <v>81</v>
      </c>
    </row>
    <row r="2" spans="1:2">
      <c r="A2" t="str">
        <f>'REF-BX.in.th'!H2</f>
        <v>btcthb</v>
      </c>
      <c r="B2">
        <f>'REF-BX.in.th'!I2</f>
        <v>149002</v>
      </c>
    </row>
    <row r="3" spans="1:2">
      <c r="A3" t="str">
        <f>'REF-BX.in.th'!H3</f>
        <v>eththb</v>
      </c>
      <c r="B3">
        <f>'REF-BX.in.th'!I3</f>
        <v>10749</v>
      </c>
    </row>
    <row r="4" spans="1:2">
      <c r="A4" t="str">
        <f>'REF-BX.in.th'!H4</f>
        <v>dasthb</v>
      </c>
      <c r="B4">
        <f>'REF-BX.in.th'!I4</f>
        <v>11034.002</v>
      </c>
    </row>
    <row r="5" spans="1:2">
      <c r="A5" t="str">
        <f>'REF-BX.in.th'!H5</f>
        <v>repthb</v>
      </c>
      <c r="B5">
        <f>'REF-BX.in.th'!I5</f>
        <v>767.76</v>
      </c>
    </row>
    <row r="6" spans="1:2">
      <c r="A6" t="str">
        <f>'REF-BX.in.th'!H6</f>
        <v>ethbtc</v>
      </c>
      <c r="B6">
        <f>'REF-BX.in.th'!I6</f>
        <v>7.305499E-2</v>
      </c>
    </row>
    <row r="7" spans="1:2">
      <c r="A7" t="str">
        <f>'REF-BX.in.th'!H7</f>
        <v>dogbtc</v>
      </c>
      <c r="B7">
        <f>'REF-BX.in.th'!I7</f>
        <v>4.4000000000000002E-7</v>
      </c>
    </row>
    <row r="8" spans="1:2">
      <c r="A8" t="str">
        <f>'REF-BX.in.th'!H8</f>
        <v>ftcbtc</v>
      </c>
      <c r="B8">
        <f>'REF-BX.in.th'!I8</f>
        <v>1.379E-5</v>
      </c>
    </row>
    <row r="9" spans="1:2">
      <c r="A9" t="str">
        <f>'REF-BX.in.th'!H9</f>
        <v>gnothb</v>
      </c>
      <c r="B9">
        <f>'REF-BX.in.th'!I9</f>
        <v>5007</v>
      </c>
    </row>
    <row r="10" spans="1:2">
      <c r="A10" t="str">
        <f>'REF-BX.in.th'!H10</f>
        <v>hypbtc</v>
      </c>
      <c r="B10">
        <f>'REF-BX.in.th'!I10</f>
        <v>3.8000000000000001E-7</v>
      </c>
    </row>
    <row r="11" spans="1:2">
      <c r="A11" t="str">
        <f>'REF-BX.in.th'!H11</f>
        <v>ltcbtc</v>
      </c>
      <c r="B11">
        <f>'REF-BX.in.th'!I11</f>
        <v>1.7469999999999999E-2</v>
      </c>
    </row>
    <row r="12" spans="1:2">
      <c r="A12" t="str">
        <f>'REF-BX.in.th'!H12</f>
        <v>nmcbtc</v>
      </c>
      <c r="B12">
        <f>'REF-BX.in.th'!I12</f>
        <v>4.0099999999999999E-4</v>
      </c>
    </row>
    <row r="13" spans="1:2">
      <c r="A13" t="str">
        <f>'REF-BX.in.th'!H13</f>
        <v>omgthb</v>
      </c>
      <c r="B13">
        <f>'REF-BX.in.th'!I13</f>
        <v>372</v>
      </c>
    </row>
    <row r="14" spans="1:2">
      <c r="A14" t="str">
        <f>'REF-BX.in.th'!H14</f>
        <v>pndbtc</v>
      </c>
      <c r="B14">
        <f>'REF-BX.in.th'!I14</f>
        <v>1E-8</v>
      </c>
    </row>
    <row r="15" spans="1:2">
      <c r="A15" t="str">
        <f>'REF-BX.in.th'!H15</f>
        <v>ppcbtc</v>
      </c>
      <c r="B15">
        <f>'REF-BX.in.th'!I15</f>
        <v>3.1117999999999999E-4</v>
      </c>
    </row>
    <row r="16" spans="1:2">
      <c r="A16" t="str">
        <f>'REF-BX.in.th'!H16</f>
        <v>qrkbtc</v>
      </c>
      <c r="B16">
        <f>'REF-BX.in.th'!I16</f>
        <v>6.9700000000000002E-6</v>
      </c>
    </row>
    <row r="17" spans="1:2">
      <c r="A17" t="str">
        <f>'REF-BX.in.th'!H17</f>
        <v>xcnbtc</v>
      </c>
      <c r="B17">
        <f>'REF-BX.in.th'!I17</f>
        <v>1.59E-6</v>
      </c>
    </row>
    <row r="18" spans="1:2">
      <c r="A18" t="str">
        <f>'REF-BX.in.th'!H18</f>
        <v>xpmbtc</v>
      </c>
      <c r="B18">
        <f>'REF-BX.in.th'!I18</f>
        <v>1.1998999999999999E-4</v>
      </c>
    </row>
    <row r="19" spans="1:2">
      <c r="A19" t="str">
        <f>'REF-BX.in.th'!H19</f>
        <v>xpybtc</v>
      </c>
      <c r="B19">
        <f>'REF-BX.in.th'!I19</f>
        <v>4.9599999999999999E-6</v>
      </c>
    </row>
    <row r="20" spans="1:2">
      <c r="A20" t="str">
        <f>'REF-BX.in.th'!H20</f>
        <v>xrpthb</v>
      </c>
      <c r="B20">
        <f>'REF-BX.in.th'!I20</f>
        <v>7.39</v>
      </c>
    </row>
    <row r="21" spans="1:2">
      <c r="A21" t="str">
        <f>'REF-BX.in.th'!H21</f>
        <v>zecbtc</v>
      </c>
      <c r="B21">
        <f>'REF-BX.in.th'!I21</f>
        <v>5.2600000000000001E-2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I81"/>
  <sheetViews>
    <sheetView workbookViewId="0">
      <selection sqref="A1:I81"/>
    </sheetView>
  </sheetViews>
  <sheetFormatPr defaultRowHeight="13.8"/>
  <cols>
    <col min="1" max="1" width="8.19921875" bestFit="1" customWidth="1"/>
    <col min="2" max="2" width="12.8984375" bestFit="1" customWidth="1"/>
    <col min="3" max="3" width="18.19921875" bestFit="1" customWidth="1"/>
    <col min="4" max="4" width="20.796875" bestFit="1" customWidth="1"/>
    <col min="5" max="5" width="21.296875" bestFit="1" customWidth="1"/>
    <col min="6" max="6" width="12.296875" bestFit="1" customWidth="1"/>
    <col min="7" max="7" width="26.69921875" bestFit="1" customWidth="1"/>
    <col min="8" max="8" width="10.8984375" style="25" bestFit="1" customWidth="1"/>
    <col min="9" max="9" width="9.19921875" style="30" bestFit="1" customWidth="1"/>
  </cols>
  <sheetData>
    <row r="1" spans="1:9">
      <c r="A1" s="1"/>
      <c r="B1" s="1"/>
      <c r="C1" s="1"/>
      <c r="D1" s="1"/>
      <c r="E1" s="1"/>
      <c r="F1" s="1"/>
      <c r="G1" s="1"/>
      <c r="H1" s="22" t="s">
        <v>10</v>
      </c>
      <c r="I1" s="28" t="s">
        <v>82</v>
      </c>
    </row>
    <row r="2" spans="1:9">
      <c r="A2" s="1"/>
      <c r="B2" s="1"/>
      <c r="C2" s="1"/>
      <c r="D2" s="1"/>
      <c r="E2" s="1"/>
      <c r="F2" s="1"/>
      <c r="G2" s="1"/>
      <c r="H2" s="25" t="str">
        <f>LOWER(CONCATENATE("THB",THBRATE[[#This Row],[Value.code]]))</f>
        <v>thbusd</v>
      </c>
      <c r="I2" s="30">
        <f>1/THBRATE[[#This Row],[Value.rate]]</f>
        <v>33.155932076982481</v>
      </c>
    </row>
    <row r="3" spans="1:9">
      <c r="A3" s="1"/>
      <c r="B3" s="1"/>
      <c r="C3" s="1"/>
      <c r="D3" s="1"/>
      <c r="E3" s="1"/>
      <c r="F3" s="1"/>
      <c r="G3" s="1"/>
      <c r="H3" s="25" t="str">
        <f>LOWER(CONCATENATE("THB",THBRATE[[#This Row],[Value.code]]))</f>
        <v>thbeur</v>
      </c>
      <c r="I3" s="30">
        <f>1/THBRATE[[#This Row],[Value.rate]]</f>
        <v>39.552767555289428</v>
      </c>
    </row>
    <row r="4" spans="1:9">
      <c r="A4" s="1"/>
      <c r="B4" s="1"/>
      <c r="C4" s="1"/>
      <c r="D4" s="1"/>
      <c r="E4" s="1"/>
      <c r="F4" s="1"/>
      <c r="G4" s="1"/>
      <c r="H4" s="25" t="str">
        <f>LOWER(CONCATENATE("THB",THBRATE[[#This Row],[Value.code]]))</f>
        <v>thbgbp</v>
      </c>
      <c r="I4" s="30">
        <f>1/THBRATE[[#This Row],[Value.rate]]</f>
        <v>43.265761402941791</v>
      </c>
    </row>
    <row r="5" spans="1:9">
      <c r="A5" s="1"/>
      <c r="B5" s="1"/>
      <c r="C5" s="1"/>
      <c r="D5" s="1"/>
      <c r="E5" s="1"/>
      <c r="F5" s="1"/>
      <c r="G5" s="1"/>
      <c r="H5" s="25" t="str">
        <f>LOWER(CONCATENATE("THB",THBRATE[[#This Row],[Value.code]]))</f>
        <v>thbaud</v>
      </c>
      <c r="I5" s="30">
        <f>1/THBRATE[[#This Row],[Value.rate]]</f>
        <v>26.492458279980404</v>
      </c>
    </row>
    <row r="6" spans="1:9">
      <c r="A6" s="1"/>
      <c r="B6" s="1"/>
      <c r="C6" s="1"/>
      <c r="D6" s="1"/>
      <c r="E6" s="1"/>
      <c r="F6" s="1"/>
      <c r="G6" s="1"/>
      <c r="H6" s="25" t="str">
        <f>LOWER(CONCATENATE("THB",THBRATE[[#This Row],[Value.code]]))</f>
        <v>thbjpy</v>
      </c>
      <c r="I6" s="30">
        <f>1/THBRATE[[#This Row],[Value.rate]]</f>
        <v>0.3047833559932559</v>
      </c>
    </row>
    <row r="7" spans="1:9">
      <c r="A7" s="1"/>
      <c r="B7" s="1"/>
      <c r="C7" s="1"/>
      <c r="D7" s="1"/>
      <c r="E7" s="1"/>
      <c r="F7" s="1"/>
      <c r="G7" s="1"/>
      <c r="H7" s="25" t="str">
        <f>LOWER(CONCATENATE("THB",THBRATE[[#This Row],[Value.code]]))</f>
        <v>thbchf</v>
      </c>
      <c r="I7" s="30">
        <f>1/THBRATE[[#This Row],[Value.rate]]</f>
        <v>34.697170084107491</v>
      </c>
    </row>
    <row r="8" spans="1:9">
      <c r="A8" s="1"/>
      <c r="B8" s="1"/>
      <c r="C8" s="1"/>
      <c r="D8" s="1"/>
      <c r="E8" s="1"/>
      <c r="F8" s="1"/>
      <c r="G8" s="1"/>
      <c r="H8" s="25" t="str">
        <f>LOWER(CONCATENATE("THB",THBRATE[[#This Row],[Value.code]]))</f>
        <v>thbcad</v>
      </c>
      <c r="I8" s="30">
        <f>1/THBRATE[[#This Row],[Value.rate]]</f>
        <v>26.890009886251189</v>
      </c>
    </row>
    <row r="9" spans="1:9">
      <c r="A9" s="1"/>
      <c r="B9" s="1"/>
      <c r="C9" s="1"/>
      <c r="D9" s="1"/>
      <c r="E9" s="1"/>
      <c r="F9" s="1"/>
      <c r="G9" s="1"/>
      <c r="H9" s="25" t="str">
        <f>LOWER(CONCATENATE("THB",THBRATE[[#This Row],[Value.code]]))</f>
        <v>thbisk</v>
      </c>
      <c r="I9" s="30">
        <f>1/THBRATE[[#This Row],[Value.rate]]</f>
        <v>0.31234980760229375</v>
      </c>
    </row>
    <row r="10" spans="1:9">
      <c r="A10" s="1"/>
      <c r="B10" s="1"/>
      <c r="C10" s="1"/>
      <c r="D10" s="1"/>
      <c r="E10" s="1"/>
      <c r="F10" s="1"/>
      <c r="G10" s="1"/>
      <c r="H10" s="25" t="str">
        <f>LOWER(CONCATENATE("THB",THBRATE[[#This Row],[Value.code]]))</f>
        <v>thbqar</v>
      </c>
      <c r="I10" s="30">
        <f>1/THBRATE[[#This Row],[Value.rate]]</f>
        <v>9.1087725486217046</v>
      </c>
    </row>
    <row r="11" spans="1:9">
      <c r="A11" s="1"/>
      <c r="B11" s="1"/>
      <c r="C11" s="1"/>
      <c r="D11" s="1"/>
      <c r="E11" s="1"/>
      <c r="F11" s="1"/>
      <c r="G11" s="1"/>
      <c r="H11" s="25" t="str">
        <f>LOWER(CONCATENATE("THB",THBRATE[[#This Row],[Value.code]]))</f>
        <v>thbbgn</v>
      </c>
      <c r="I11" s="30">
        <f>1/THBRATE[[#This Row],[Value.rate]]</f>
        <v>20.227008809106014</v>
      </c>
    </row>
    <row r="12" spans="1:9">
      <c r="A12" s="1"/>
      <c r="B12" s="1"/>
      <c r="C12" s="1"/>
      <c r="D12" s="1"/>
      <c r="E12" s="1"/>
      <c r="F12" s="1"/>
      <c r="G12" s="1"/>
      <c r="H12" s="25" t="str">
        <f>LOWER(CONCATENATE("THB",THBRATE[[#This Row],[Value.code]]))</f>
        <v>thbamd</v>
      </c>
      <c r="I12" s="30">
        <f>1/THBRATE[[#This Row],[Value.rate]]</f>
        <v>6.9345694939024302E-2</v>
      </c>
    </row>
    <row r="13" spans="1:9">
      <c r="A13" s="1"/>
      <c r="B13" s="1"/>
      <c r="C13" s="1"/>
      <c r="D13" s="1"/>
      <c r="E13" s="1"/>
      <c r="F13" s="1"/>
      <c r="G13" s="1"/>
      <c r="H13" s="25" t="str">
        <f>LOWER(CONCATENATE("THB",THBRATE[[#This Row],[Value.code]]))</f>
        <v>thbnio</v>
      </c>
      <c r="I13" s="30">
        <f>1/THBRATE[[#This Row],[Value.rate]]</f>
        <v>1.0936343751066366</v>
      </c>
    </row>
    <row r="14" spans="1:9">
      <c r="A14" s="1"/>
      <c r="B14" s="1"/>
      <c r="C14" s="1"/>
      <c r="D14" s="1"/>
      <c r="E14" s="1"/>
      <c r="F14" s="1"/>
      <c r="G14" s="1"/>
      <c r="H14" s="25" t="str">
        <f>LOWER(CONCATENATE("THB",THBRATE[[#This Row],[Value.code]]))</f>
        <v>thbcny</v>
      </c>
      <c r="I14" s="30">
        <f>1/THBRATE[[#This Row],[Value.rate]]</f>
        <v>5.0821550724075104</v>
      </c>
    </row>
    <row r="15" spans="1:9">
      <c r="A15" s="1"/>
      <c r="B15" s="1"/>
      <c r="C15" s="1"/>
      <c r="D15" s="1"/>
      <c r="E15" s="1"/>
      <c r="F15" s="1"/>
      <c r="G15" s="1"/>
      <c r="H15" s="25" t="str">
        <f>LOWER(CONCATENATE("THB",THBRATE[[#This Row],[Value.code]]))</f>
        <v>thbils</v>
      </c>
      <c r="I15" s="30">
        <f>1/THBRATE[[#This Row],[Value.rate]]</f>
        <v>9.3091001681483885</v>
      </c>
    </row>
    <row r="16" spans="1:9">
      <c r="A16" s="1"/>
      <c r="B16" s="1"/>
      <c r="C16" s="1"/>
      <c r="D16" s="1"/>
      <c r="E16" s="1"/>
      <c r="F16" s="1"/>
      <c r="G16" s="1"/>
      <c r="H16" s="25" t="str">
        <f>LOWER(CONCATENATE("THB",THBRATE[[#This Row],[Value.code]]))</f>
        <v>thbsgd</v>
      </c>
      <c r="I16" s="30">
        <f>1/THBRATE[[#This Row],[Value.rate]]</f>
        <v>24.52352683685163</v>
      </c>
    </row>
    <row r="17" spans="1:9">
      <c r="A17" s="1"/>
      <c r="B17" s="1"/>
      <c r="C17" s="1"/>
      <c r="D17" s="1"/>
      <c r="E17" s="1"/>
      <c r="F17" s="1"/>
      <c r="G17" s="1"/>
      <c r="H17" s="25" t="str">
        <f>LOWER(CONCATENATE("THB",THBRATE[[#This Row],[Value.code]]))</f>
        <v>thbtry</v>
      </c>
      <c r="I17" s="30">
        <f>1/THBRATE[[#This Row],[Value.rate]]</f>
        <v>9.6585491633308536</v>
      </c>
    </row>
    <row r="18" spans="1:9">
      <c r="A18" s="1"/>
      <c r="B18" s="1"/>
      <c r="C18" s="1"/>
      <c r="D18" s="1"/>
      <c r="E18" s="1"/>
      <c r="F18" s="1"/>
      <c r="G18" s="1"/>
      <c r="H18" s="25" t="str">
        <f>LOWER(CONCATENATE("THB",THBRATE[[#This Row],[Value.code]]))</f>
        <v>thbtmt</v>
      </c>
      <c r="I18" s="30">
        <f>1/THBRATE[[#This Row],[Value.rate]]</f>
        <v>9.4880504842062727</v>
      </c>
    </row>
    <row r="19" spans="1:9">
      <c r="A19" s="1"/>
      <c r="B19" s="1"/>
      <c r="C19" s="1"/>
      <c r="D19" s="1"/>
      <c r="E19" s="1"/>
      <c r="F19" s="1"/>
      <c r="G19" s="1"/>
      <c r="H19" s="25" t="str">
        <f>LOWER(CONCATENATE("THB",THBRATE[[#This Row],[Value.code]]))</f>
        <v>thbkwd</v>
      </c>
      <c r="I19" s="30">
        <f>1/THBRATE[[#This Row],[Value.rate]]</f>
        <v>110.0064103416818</v>
      </c>
    </row>
    <row r="20" spans="1:9">
      <c r="A20" s="1"/>
      <c r="B20" s="1"/>
      <c r="C20" s="1"/>
      <c r="D20" s="1"/>
      <c r="E20" s="1"/>
      <c r="F20" s="1"/>
      <c r="G20" s="1"/>
      <c r="H20" s="25" t="str">
        <f>LOWER(CONCATENATE("THB",THBRATE[[#This Row],[Value.code]]))</f>
        <v>thbsek</v>
      </c>
      <c r="I20" s="30">
        <f>1/THBRATE[[#This Row],[Value.rate]]</f>
        <v>4.1638280964768768</v>
      </c>
    </row>
    <row r="21" spans="1:9">
      <c r="A21" s="1"/>
      <c r="B21" s="1"/>
      <c r="C21" s="1"/>
      <c r="D21" s="1"/>
      <c r="E21" s="1"/>
      <c r="F21" s="1"/>
      <c r="G21" s="1"/>
      <c r="H21" s="25" t="str">
        <f>LOWER(CONCATENATE("THB",THBRATE[[#This Row],[Value.code]]))</f>
        <v>thbphp</v>
      </c>
      <c r="I21" s="30">
        <f>1/THBRATE[[#This Row],[Value.rate]]</f>
        <v>0.64947634655744146</v>
      </c>
    </row>
    <row r="22" spans="1:9">
      <c r="A22" s="1"/>
      <c r="B22" s="1"/>
      <c r="C22" s="1"/>
      <c r="D22" s="1"/>
      <c r="E22" s="1"/>
      <c r="F22" s="1"/>
      <c r="G22" s="1"/>
      <c r="H22" s="25" t="str">
        <f>LOWER(CONCATENATE("THB",THBRATE[[#This Row],[Value.code]]))</f>
        <v>thbuah</v>
      </c>
      <c r="I22" s="30">
        <f>1/THBRATE[[#This Row],[Value.rate]]</f>
        <v>1.2766282688151644</v>
      </c>
    </row>
    <row r="23" spans="1:9">
      <c r="A23" s="1"/>
      <c r="B23" s="1"/>
      <c r="C23" s="1"/>
      <c r="D23" s="1"/>
      <c r="E23" s="1"/>
      <c r="F23" s="1"/>
      <c r="G23" s="1"/>
      <c r="H23" s="25" t="str">
        <f>LOWER(CONCATENATE("THB",THBRATE[[#This Row],[Value.code]]))</f>
        <v>thbmur</v>
      </c>
      <c r="I23" s="30">
        <f>1/THBRATE[[#This Row],[Value.rate]]</f>
        <v>1.0052918334874492</v>
      </c>
    </row>
    <row r="24" spans="1:9">
      <c r="A24" s="1"/>
      <c r="B24" s="1"/>
      <c r="C24" s="1"/>
      <c r="D24" s="1"/>
      <c r="E24" s="1"/>
      <c r="F24" s="1"/>
      <c r="G24" s="1"/>
      <c r="H24" s="25" t="str">
        <f>LOWER(CONCATENATE("THB",THBRATE[[#This Row],[Value.code]]))</f>
        <v>thbttd</v>
      </c>
      <c r="I24" s="30">
        <f>1/THBRATE[[#This Row],[Value.rate]]</f>
        <v>4.902620484848744</v>
      </c>
    </row>
    <row r="25" spans="1:9">
      <c r="A25" s="1"/>
      <c r="B25" s="1"/>
      <c r="C25" s="1"/>
      <c r="D25" s="1"/>
      <c r="E25" s="1"/>
      <c r="F25" s="1"/>
      <c r="G25" s="1"/>
      <c r="H25" s="25" t="str">
        <f>LOWER(CONCATENATE("THB",THBRATE[[#This Row],[Value.code]]))</f>
        <v>thbtwd</v>
      </c>
      <c r="I25" s="30">
        <f>1/THBRATE[[#This Row],[Value.rate]]</f>
        <v>1.101756701631476</v>
      </c>
    </row>
    <row r="26" spans="1:9">
      <c r="A26" s="1"/>
      <c r="B26" s="1"/>
      <c r="C26" s="1"/>
      <c r="D26" s="1"/>
      <c r="E26" s="1"/>
      <c r="F26" s="1"/>
      <c r="G26" s="1"/>
      <c r="H26" s="25" t="str">
        <f>LOWER(CONCATENATE("THB",THBRATE[[#This Row],[Value.code]]))</f>
        <v>thbjod</v>
      </c>
      <c r="I26" s="30">
        <f>1/THBRATE[[#This Row],[Value.rate]]</f>
        <v>46.758055475101912</v>
      </c>
    </row>
    <row r="27" spans="1:9">
      <c r="A27" s="1"/>
      <c r="B27" s="1"/>
      <c r="C27" s="1"/>
      <c r="D27" s="1"/>
      <c r="E27" s="1"/>
      <c r="F27" s="1"/>
      <c r="G27" s="1"/>
      <c r="H27" s="25" t="str">
        <f>LOWER(CONCATENATE("THB",THBRATE[[#This Row],[Value.code]]))</f>
        <v>thbbnd</v>
      </c>
      <c r="I27" s="30">
        <f>1/THBRATE[[#This Row],[Value.rate]]</f>
        <v>24.498250389377407</v>
      </c>
    </row>
    <row r="28" spans="1:9">
      <c r="A28" s="1"/>
      <c r="B28" s="1"/>
      <c r="C28" s="1"/>
      <c r="D28" s="1"/>
      <c r="E28" s="1"/>
      <c r="F28" s="1"/>
      <c r="G28" s="1"/>
      <c r="H28" s="25" t="str">
        <f>LOWER(CONCATENATE("THB",THBRATE[[#This Row],[Value.code]]))</f>
        <v>thbcop</v>
      </c>
      <c r="I28" s="30">
        <f>1/THBRATE[[#This Row],[Value.rate]]</f>
        <v>1.134138291529437E-2</v>
      </c>
    </row>
    <row r="29" spans="1:9">
      <c r="A29" s="1"/>
      <c r="B29"/>
      <c r="C29"/>
      <c r="D29"/>
      <c r="E29"/>
      <c r="F29"/>
      <c r="G29"/>
      <c r="H29" s="25" t="str">
        <f>LOWER(CONCATENATE("THB",THBRATE[[#This Row],[Value.code]]))</f>
        <v>thbnok</v>
      </c>
      <c r="I29" s="30">
        <f>1/THBRATE[[#This Row],[Value.rate]]</f>
        <v>4.2612388011437359</v>
      </c>
    </row>
    <row r="30" spans="1:9">
      <c r="A30" s="1"/>
      <c r="B30"/>
      <c r="C30"/>
      <c r="D30"/>
      <c r="E30"/>
      <c r="F30"/>
      <c r="G30"/>
      <c r="H30" s="25" t="str">
        <f>LOWER(CONCATENATE("THB",THBRATE[[#This Row],[Value.code]]))</f>
        <v>thbvef</v>
      </c>
      <c r="I30" s="30">
        <f>1/THBRATE[[#This Row],[Value.rate]]</f>
        <v>3.3238210114245152</v>
      </c>
    </row>
    <row r="31" spans="1:9">
      <c r="A31" s="1"/>
      <c r="B31"/>
      <c r="C31"/>
      <c r="D31"/>
      <c r="E31"/>
      <c r="F31"/>
      <c r="G31"/>
      <c r="H31" s="25" t="str">
        <f>LOWER(CONCATENATE("THB",THBRATE[[#This Row],[Value.code]]))</f>
        <v>thbngn</v>
      </c>
      <c r="I31" s="30">
        <f>1/THBRATE[[#This Row],[Value.rate]]</f>
        <v>0.10856559291742914</v>
      </c>
    </row>
    <row r="32" spans="1:9">
      <c r="A32" s="1"/>
      <c r="B32"/>
      <c r="C32"/>
      <c r="D32"/>
      <c r="E32"/>
      <c r="F32"/>
      <c r="G32"/>
      <c r="H32" s="25" t="str">
        <f>LOWER(CONCATENATE("THB",THBRATE[[#This Row],[Value.code]]))</f>
        <v>thbpyg</v>
      </c>
      <c r="I32" s="30">
        <f>1/THBRATE[[#This Row],[Value.rate]]</f>
        <v>5.8482037628500216E-3</v>
      </c>
    </row>
    <row r="33" spans="1:9">
      <c r="A33" s="1"/>
      <c r="B33"/>
      <c r="C33"/>
      <c r="D33"/>
      <c r="E33"/>
      <c r="F33"/>
      <c r="G33"/>
      <c r="H33" s="25" t="str">
        <f>LOWER(CONCATENATE("THB",THBRATE[[#This Row],[Value.code]]))</f>
        <v>thbhuf</v>
      </c>
      <c r="I33" s="30">
        <f>1/THBRATE[[#This Row],[Value.rate]]</f>
        <v>0.12921408538821824</v>
      </c>
    </row>
    <row r="34" spans="1:9">
      <c r="A34" s="1"/>
      <c r="B34"/>
      <c r="C34"/>
      <c r="D34"/>
      <c r="E34"/>
      <c r="F34"/>
      <c r="G34"/>
      <c r="H34" s="25" t="str">
        <f>LOWER(CONCATENATE("THB",THBRATE[[#This Row],[Value.code]]))</f>
        <v>thbpln</v>
      </c>
      <c r="I34" s="30">
        <f>1/THBRATE[[#This Row],[Value.rate]]</f>
        <v>9.3289494948204243</v>
      </c>
    </row>
    <row r="35" spans="1:9">
      <c r="A35" s="1"/>
      <c r="B35"/>
      <c r="C35"/>
      <c r="D35"/>
      <c r="E35"/>
      <c r="F35"/>
      <c r="G35"/>
      <c r="H35" s="25" t="str">
        <f>LOWER(CONCATENATE("THB",THBRATE[[#This Row],[Value.code]]))</f>
        <v>thbdop</v>
      </c>
      <c r="I35" s="30">
        <f>1/THBRATE[[#This Row],[Value.rate]]</f>
        <v>0.69880669969294884</v>
      </c>
    </row>
    <row r="36" spans="1:9">
      <c r="A36" s="1"/>
      <c r="B36"/>
      <c r="C36"/>
      <c r="D36"/>
      <c r="E36"/>
      <c r="F36"/>
      <c r="G36"/>
      <c r="H36" s="25" t="str">
        <f>LOWER(CONCATENATE("THB",THBRATE[[#This Row],[Value.code]]))</f>
        <v>thbazn</v>
      </c>
      <c r="I36" s="30">
        <f>1/THBRATE[[#This Row],[Value.rate]]</f>
        <v>19.503462245424657</v>
      </c>
    </row>
    <row r="37" spans="1:9">
      <c r="A37" s="1"/>
      <c r="B37"/>
      <c r="C37"/>
      <c r="D37"/>
      <c r="E37"/>
      <c r="F37"/>
      <c r="G37"/>
      <c r="H37" s="25" t="str">
        <f>LOWER(CONCATENATE("THB",THBRATE[[#This Row],[Value.code]]))</f>
        <v>thbcrc</v>
      </c>
      <c r="I37" s="30">
        <f>1/THBRATE[[#This Row],[Value.rate]]</f>
        <v>5.7354769760474912E-2</v>
      </c>
    </row>
    <row r="38" spans="1:9">
      <c r="A38" s="1"/>
      <c r="B38"/>
      <c r="C38"/>
      <c r="D38"/>
      <c r="E38"/>
      <c r="F38"/>
      <c r="G38"/>
      <c r="H38" s="25" t="str">
        <f>LOWER(CONCATENATE("THB",THBRATE[[#This Row],[Value.code]]))</f>
        <v>thbidr</v>
      </c>
      <c r="I38" s="30">
        <f>1/THBRATE[[#This Row],[Value.rate]]</f>
        <v>2.486703630715144E-3</v>
      </c>
    </row>
    <row r="39" spans="1:9">
      <c r="A39" s="1"/>
      <c r="B39"/>
      <c r="C39"/>
      <c r="D39"/>
      <c r="E39"/>
      <c r="F39"/>
      <c r="G39"/>
      <c r="H39" s="25" t="str">
        <f>LOWER(CONCATENATE("THB",THBRATE[[#This Row],[Value.code]]))</f>
        <v>thbsar</v>
      </c>
      <c r="I39" s="30">
        <f>1/THBRATE[[#This Row],[Value.rate]]</f>
        <v>8.8410391417653411</v>
      </c>
    </row>
    <row r="40" spans="1:9">
      <c r="A40" s="1"/>
      <c r="B40"/>
      <c r="C40"/>
      <c r="D40"/>
      <c r="E40"/>
      <c r="F40"/>
      <c r="G40"/>
      <c r="H40" s="25" t="str">
        <f>LOWER(CONCATENATE("THB",THBRATE[[#This Row],[Value.code]]))</f>
        <v>thbhrk</v>
      </c>
      <c r="I40" s="30">
        <f>1/THBRATE[[#This Row],[Value.rate]]</f>
        <v>5.3262896411668796</v>
      </c>
    </row>
    <row r="41" spans="1:9">
      <c r="A41" s="1"/>
      <c r="B41"/>
      <c r="C41"/>
      <c r="D41"/>
      <c r="E41"/>
      <c r="F41"/>
      <c r="G41"/>
      <c r="H41" s="25" t="str">
        <f>LOWER(CONCATENATE("THB",THBRATE[[#This Row],[Value.code]]))</f>
        <v>thbmdl</v>
      </c>
      <c r="I41" s="30">
        <f>1/THBRATE[[#This Row],[Value.rate]]</f>
        <v>1.8675521486738631</v>
      </c>
    </row>
    <row r="42" spans="1:9">
      <c r="A42" s="1"/>
      <c r="B42"/>
      <c r="C42"/>
      <c r="D42"/>
      <c r="E42"/>
      <c r="F42"/>
      <c r="G42"/>
      <c r="H42" s="25" t="str">
        <f>LOWER(CONCATENATE("THB",THBRATE[[#This Row],[Value.code]]))</f>
        <v>thbkrw</v>
      </c>
      <c r="I42" s="30">
        <f>1/THBRATE[[#This Row],[Value.rate]]</f>
        <v>2.9268638803331165E-2</v>
      </c>
    </row>
    <row r="43" spans="1:9">
      <c r="A43" s="1"/>
      <c r="B43"/>
      <c r="C43"/>
      <c r="D43"/>
      <c r="E43"/>
      <c r="F43"/>
      <c r="G43"/>
      <c r="H43" s="25" t="str">
        <f>LOWER(CONCATENATE("THB",THBRATE[[#This Row],[Value.code]]))</f>
        <v>thblkr</v>
      </c>
      <c r="I43" s="30">
        <f>1/THBRATE[[#This Row],[Value.rate]]</f>
        <v>0.21741195621970902</v>
      </c>
    </row>
    <row r="44" spans="1:9">
      <c r="A44" s="1"/>
      <c r="B44"/>
      <c r="C44"/>
      <c r="D44"/>
      <c r="E44"/>
      <c r="F44"/>
      <c r="G44"/>
      <c r="H44" s="25" t="str">
        <f>LOWER(CONCATENATE("THB",THBRATE[[#This Row],[Value.code]]))</f>
        <v>thbmxn</v>
      </c>
      <c r="I44" s="30">
        <f>1/THBRATE[[#This Row],[Value.rate]]</f>
        <v>1.8605626291067054</v>
      </c>
    </row>
    <row r="45" spans="1:9">
      <c r="A45" s="1"/>
      <c r="B45"/>
      <c r="C45"/>
      <c r="D45"/>
      <c r="E45"/>
      <c r="F45"/>
      <c r="G45"/>
      <c r="H45" s="25" t="str">
        <f>LOWER(CONCATENATE("THB",THBRATE[[#This Row],[Value.code]]))</f>
        <v>thbuzs</v>
      </c>
      <c r="I45" s="30">
        <f>1/THBRATE[[#This Row],[Value.rate]]</f>
        <v>4.0933238769477135E-3</v>
      </c>
    </row>
    <row r="46" spans="1:9">
      <c r="A46" s="1"/>
      <c r="B46"/>
      <c r="C46"/>
      <c r="D46"/>
      <c r="E46"/>
      <c r="F46"/>
      <c r="G46"/>
      <c r="H46" s="25" t="str">
        <f>LOWER(CONCATENATE("THB",THBRATE[[#This Row],[Value.code]]))</f>
        <v>thbdzd</v>
      </c>
      <c r="I46" s="30">
        <f>1/THBRATE[[#This Row],[Value.rate]]</f>
        <v>0.29870289808875888</v>
      </c>
    </row>
    <row r="47" spans="1:9">
      <c r="A47" s="1"/>
      <c r="B47"/>
      <c r="C47"/>
      <c r="D47"/>
      <c r="E47"/>
      <c r="F47"/>
      <c r="G47"/>
      <c r="H47" s="25" t="str">
        <f>LOWER(CONCATENATE("THB",THBRATE[[#This Row],[Value.code]]))</f>
        <v>thbmyr</v>
      </c>
      <c r="I47" s="30">
        <f>1/THBRATE[[#This Row],[Value.rate]]</f>
        <v>7.8161064801537457</v>
      </c>
    </row>
    <row r="48" spans="1:9">
      <c r="A48" s="1"/>
      <c r="B48"/>
      <c r="C48"/>
      <c r="D48"/>
      <c r="E48"/>
      <c r="F48"/>
      <c r="G48"/>
      <c r="H48" s="25" t="str">
        <f>LOWER(CONCATENATE("THB",THBRATE[[#This Row],[Value.code]]))</f>
        <v>thbxof</v>
      </c>
      <c r="I48" s="30">
        <f>1/THBRATE[[#This Row],[Value.rate]]</f>
        <v>6.0249510423285926E-2</v>
      </c>
    </row>
    <row r="49" spans="1:9">
      <c r="A49" s="1"/>
      <c r="B49"/>
      <c r="C49"/>
      <c r="D49"/>
      <c r="E49"/>
      <c r="F49"/>
      <c r="G49"/>
      <c r="H49" s="25" t="str">
        <f>LOWER(CONCATENATE("THB",THBRATE[[#This Row],[Value.code]]))</f>
        <v>thbrsd</v>
      </c>
      <c r="I49" s="30">
        <f>1/THBRATE[[#This Row],[Value.rate]]</f>
        <v>0.33038919238014169</v>
      </c>
    </row>
    <row r="50" spans="1:9">
      <c r="A50" s="1"/>
      <c r="B50"/>
      <c r="C50"/>
      <c r="D50"/>
      <c r="E50"/>
      <c r="F50"/>
      <c r="G50"/>
      <c r="H50" s="25" t="str">
        <f>LOWER(CONCATENATE("THB",THBRATE[[#This Row],[Value.code]]))</f>
        <v>thbbwp</v>
      </c>
      <c r="I50" s="30">
        <f>1/THBRATE[[#This Row],[Value.rate]]</f>
        <v>3.2956996484521701</v>
      </c>
    </row>
    <row r="51" spans="1:9">
      <c r="A51" s="1"/>
      <c r="B51"/>
      <c r="C51"/>
      <c r="D51"/>
      <c r="E51"/>
      <c r="F51"/>
      <c r="G51"/>
      <c r="H51" s="25" t="str">
        <f>LOWER(CONCATENATE("THB",THBRATE[[#This Row],[Value.code]]))</f>
        <v>thbnzd</v>
      </c>
      <c r="I51" s="30">
        <f>1/THBRATE[[#This Row],[Value.rate]]</f>
        <v>23.944922904503571</v>
      </c>
    </row>
    <row r="52" spans="1:9">
      <c r="A52" s="1"/>
      <c r="B52"/>
      <c r="C52"/>
      <c r="D52"/>
      <c r="E52"/>
      <c r="F52"/>
      <c r="G52"/>
      <c r="H52" s="25" t="str">
        <f>LOWER(CONCATENATE("THB",THBRATE[[#This Row],[Value.code]]))</f>
        <v>thbaed</v>
      </c>
      <c r="I52" s="30">
        <f>1/THBRATE[[#This Row],[Value.rate]]</f>
        <v>9.028163328790459</v>
      </c>
    </row>
    <row r="53" spans="1:9">
      <c r="A53" s="1"/>
      <c r="B53"/>
      <c r="C53"/>
      <c r="D53"/>
      <c r="E53"/>
      <c r="F53"/>
      <c r="G53"/>
      <c r="H53" s="25" t="str">
        <f>LOWER(CONCATENATE("THB",THBRATE[[#This Row],[Value.code]]))</f>
        <v>thbpgk</v>
      </c>
      <c r="I53" s="30">
        <f>1/THBRATE[[#This Row],[Value.rate]]</f>
        <v>10.361066740610124</v>
      </c>
    </row>
    <row r="54" spans="1:9">
      <c r="A54" s="1"/>
      <c r="B54"/>
      <c r="C54"/>
      <c r="D54"/>
      <c r="E54"/>
      <c r="F54"/>
      <c r="G54"/>
      <c r="H54" s="25" t="str">
        <f>LOWER(CONCATENATE("THB",THBRATE[[#This Row],[Value.code]]))</f>
        <v>thbars</v>
      </c>
      <c r="I54" s="30">
        <f>1/THBRATE[[#This Row],[Value.rate]]</f>
        <v>1.9262823220527323</v>
      </c>
    </row>
    <row r="55" spans="1:9">
      <c r="A55" s="1"/>
      <c r="B55"/>
      <c r="C55"/>
      <c r="D55"/>
      <c r="E55"/>
      <c r="F55"/>
      <c r="G55"/>
      <c r="H55" s="25" t="str">
        <f>LOWER(CONCATENATE("THB",THBRATE[[#This Row],[Value.code]]))</f>
        <v>thbclp</v>
      </c>
      <c r="I55" s="30">
        <f>1/THBRATE[[#This Row],[Value.rate]]</f>
        <v>5.3346477783712626E-2</v>
      </c>
    </row>
    <row r="56" spans="1:9">
      <c r="A56" s="1"/>
      <c r="B56"/>
      <c r="C56"/>
      <c r="D56"/>
      <c r="E56"/>
      <c r="F56"/>
      <c r="G56"/>
      <c r="H56" s="25" t="str">
        <f>LOWER(CONCATENATE("THB",THBRATE[[#This Row],[Value.code]]))</f>
        <v>thbdkk</v>
      </c>
      <c r="I56" s="30">
        <f>1/THBRATE[[#This Row],[Value.rate]]</f>
        <v>5.3169222954268989</v>
      </c>
    </row>
    <row r="57" spans="1:9">
      <c r="A57" s="1"/>
      <c r="B57"/>
      <c r="C57"/>
      <c r="D57"/>
      <c r="E57"/>
      <c r="F57"/>
      <c r="G57"/>
      <c r="H57" s="25" t="str">
        <f>LOWER(CONCATENATE("THB",THBRATE[[#This Row],[Value.code]]))</f>
        <v>thbpkr</v>
      </c>
      <c r="I57" s="30">
        <f>1/THBRATE[[#This Row],[Value.rate]]</f>
        <v>0.31455224012440702</v>
      </c>
    </row>
    <row r="58" spans="1:9">
      <c r="A58" s="1"/>
      <c r="B58"/>
      <c r="C58"/>
      <c r="D58"/>
      <c r="E58"/>
      <c r="F58"/>
      <c r="G58"/>
      <c r="H58" s="25" t="str">
        <f>LOWER(CONCATENATE("THB",THBRATE[[#This Row],[Value.code]]))</f>
        <v>thbbrl</v>
      </c>
      <c r="I58" s="30">
        <f>1/THBRATE[[#This Row],[Value.rate]]</f>
        <v>10.657559665947854</v>
      </c>
    </row>
    <row r="59" spans="1:9">
      <c r="A59" s="1"/>
      <c r="B59"/>
      <c r="C59"/>
      <c r="D59"/>
      <c r="E59"/>
      <c r="F59"/>
      <c r="G59"/>
      <c r="H59" s="25" t="str">
        <f>LOWER(CONCATENATE("THB",THBRATE[[#This Row],[Value.code]]))</f>
        <v>thbbyn</v>
      </c>
      <c r="I59" s="30">
        <f>1/THBRATE[[#This Row],[Value.rate]]</f>
        <v>17.229927580491712</v>
      </c>
    </row>
    <row r="60" spans="1:9">
      <c r="A60" s="1"/>
      <c r="B60"/>
      <c r="C60"/>
      <c r="D60"/>
      <c r="E60"/>
      <c r="F60"/>
      <c r="G60"/>
      <c r="H60" s="25" t="str">
        <f>LOWER(CONCATENATE("THB",THBRATE[[#This Row],[Value.code]]))</f>
        <v>thbbob</v>
      </c>
      <c r="I60" s="30">
        <f>1/THBRATE[[#This Row],[Value.rate]]</f>
        <v>4.8332262502892203</v>
      </c>
    </row>
    <row r="61" spans="1:9">
      <c r="A61" s="1"/>
      <c r="B61"/>
      <c r="C61"/>
      <c r="D61"/>
      <c r="E61"/>
      <c r="F61"/>
      <c r="G61"/>
      <c r="H61" s="25" t="str">
        <f>LOWER(CONCATENATE("THB",THBRATE[[#This Row],[Value.code]]))</f>
        <v>thbinr</v>
      </c>
      <c r="I61" s="30">
        <f>1/THBRATE[[#This Row],[Value.rate]]</f>
        <v>0.51722661329272701</v>
      </c>
    </row>
    <row r="62" spans="1:9">
      <c r="A62" s="1"/>
      <c r="B62"/>
      <c r="C62"/>
      <c r="D62"/>
      <c r="E62"/>
      <c r="F62"/>
      <c r="G62"/>
      <c r="H62" s="25" t="str">
        <f>LOWER(CONCATENATE("THB",THBRATE[[#This Row],[Value.code]]))</f>
        <v>thbrub</v>
      </c>
      <c r="I62" s="30">
        <f>1/THBRATE[[#This Row],[Value.rate]]</f>
        <v>0.57796316091988753</v>
      </c>
    </row>
    <row r="63" spans="1:9">
      <c r="A63" s="1"/>
      <c r="B63"/>
      <c r="C63"/>
      <c r="D63"/>
      <c r="E63"/>
      <c r="F63"/>
      <c r="G63"/>
      <c r="H63" s="25" t="str">
        <f>LOWER(CONCATENATE("THB",THBRATE[[#This Row],[Value.code]]))</f>
        <v>thbron</v>
      </c>
      <c r="I63" s="30">
        <f>1/THBRATE[[#This Row],[Value.rate]]</f>
        <v>8.6027177141132416</v>
      </c>
    </row>
    <row r="64" spans="1:9">
      <c r="A64" s="1"/>
      <c r="B64"/>
      <c r="C64"/>
      <c r="D64"/>
      <c r="E64"/>
      <c r="F64"/>
      <c r="G64"/>
      <c r="H64" s="25" t="str">
        <f>LOWER(CONCATENATE("THB",THBRATE[[#This Row],[Value.code]]))</f>
        <v>thbkgs</v>
      </c>
      <c r="I64" s="30">
        <f>1/THBRATE[[#This Row],[Value.rate]]</f>
        <v>0.48072970304040968</v>
      </c>
    </row>
    <row r="65" spans="1:9">
      <c r="A65" s="1"/>
      <c r="B65"/>
      <c r="C65"/>
      <c r="D65"/>
      <c r="E65"/>
      <c r="F65"/>
      <c r="G65"/>
      <c r="H65" s="25" t="str">
        <f>LOWER(CONCATENATE("THB",THBRATE[[#This Row],[Value.code]]))</f>
        <v>thbkzt</v>
      </c>
      <c r="I65" s="30">
        <f>1/THBRATE[[#This Row],[Value.rate]]</f>
        <v>9.7168461490505911E-2</v>
      </c>
    </row>
    <row r="66" spans="1:9">
      <c r="A66" s="1"/>
      <c r="B66"/>
      <c r="C66"/>
      <c r="D66"/>
      <c r="E66"/>
      <c r="F66"/>
      <c r="G66"/>
      <c r="H66" s="25" t="str">
        <f>LOWER(CONCATENATE("THB",THBRATE[[#This Row],[Value.code]]))</f>
        <v>thbzar</v>
      </c>
      <c r="I66" s="30">
        <f>1/THBRATE[[#This Row],[Value.rate]]</f>
        <v>2.575986021662712</v>
      </c>
    </row>
    <row r="67" spans="1:9">
      <c r="A67" s="1"/>
      <c r="B67"/>
      <c r="C67"/>
      <c r="D67"/>
      <c r="E67"/>
      <c r="F67"/>
      <c r="G67"/>
      <c r="H67" s="25" t="str">
        <f>LOWER(CONCATENATE("THB",THBRATE[[#This Row],[Value.code]]))</f>
        <v>thbhkd</v>
      </c>
      <c r="I67" s="30">
        <f>1/THBRATE[[#This Row],[Value.rate]]</f>
        <v>4.2369669008444379</v>
      </c>
    </row>
    <row r="68" spans="1:9">
      <c r="A68" s="1"/>
      <c r="B68"/>
      <c r="C68"/>
      <c r="D68"/>
      <c r="E68"/>
      <c r="F68"/>
      <c r="G68"/>
      <c r="H68" s="25" t="str">
        <f>LOWER(CONCATENATE("THB",THBRATE[[#This Row],[Value.code]]))</f>
        <v>thbtjs</v>
      </c>
      <c r="I68" s="30">
        <f>1/THBRATE[[#This Row],[Value.rate]]</f>
        <v>3.769864062106751</v>
      </c>
    </row>
    <row r="69" spans="1:9">
      <c r="A69" s="1"/>
      <c r="B69"/>
      <c r="C69"/>
      <c r="D69"/>
      <c r="E69"/>
      <c r="F69"/>
      <c r="G69"/>
      <c r="H69" s="25" t="str">
        <f>LOWER(CONCATENATE("THB",THBRATE[[#This Row],[Value.code]]))</f>
        <v>thblyd</v>
      </c>
      <c r="I69" s="30">
        <f>1/THBRATE[[#This Row],[Value.rate]]</f>
        <v>47.111263888184631</v>
      </c>
    </row>
    <row r="70" spans="1:9">
      <c r="A70" s="1"/>
      <c r="B70"/>
      <c r="C70"/>
      <c r="D70"/>
      <c r="E70"/>
      <c r="F70"/>
      <c r="G70"/>
      <c r="H70" s="25" t="str">
        <f>LOWER(CONCATENATE("THB",THBRATE[[#This Row],[Value.code]]))</f>
        <v>thbxaf</v>
      </c>
      <c r="I70" s="30">
        <f>1/THBRATE[[#This Row],[Value.rate]]</f>
        <v>6.0249510423285926E-2</v>
      </c>
    </row>
    <row r="71" spans="1:9">
      <c r="A71" s="1"/>
      <c r="B71"/>
      <c r="C71"/>
      <c r="D71"/>
      <c r="E71"/>
      <c r="F71"/>
      <c r="G71"/>
      <c r="H71" s="25" t="str">
        <f>LOWER(CONCATENATE("THB",THBRATE[[#This Row],[Value.code]]))</f>
        <v>thbegp</v>
      </c>
      <c r="I71" s="30">
        <f>1/THBRATE[[#This Row],[Value.rate]]</f>
        <v>1.8828304267143521</v>
      </c>
    </row>
    <row r="72" spans="1:9">
      <c r="A72" s="1"/>
      <c r="B72"/>
      <c r="C72"/>
      <c r="D72"/>
      <c r="E72"/>
      <c r="F72"/>
      <c r="G72"/>
      <c r="H72" s="25" t="str">
        <f>LOWER(CONCATENATE("THB",THBRATE[[#This Row],[Value.code]]))</f>
        <v>thbbhd</v>
      </c>
      <c r="I72" s="30">
        <f>1/THBRATE[[#This Row],[Value.rate]]</f>
        <v>88.180670417505425</v>
      </c>
    </row>
    <row r="73" spans="1:9">
      <c r="A73" s="1"/>
      <c r="B73"/>
      <c r="C73"/>
      <c r="D73"/>
      <c r="E73"/>
      <c r="F73"/>
      <c r="G73"/>
      <c r="H73" s="25" t="str">
        <f>LOWER(CONCATENATE("THB",THBRATE[[#This Row],[Value.code]]))</f>
        <v>thbnpr</v>
      </c>
      <c r="I73" s="30">
        <f>1/THBRATE[[#This Row],[Value.rate]]</f>
        <v>0.32315723271913582</v>
      </c>
    </row>
    <row r="74" spans="1:9">
      <c r="A74" s="1"/>
      <c r="B74"/>
      <c r="C74"/>
      <c r="D74"/>
      <c r="E74"/>
      <c r="F74"/>
      <c r="G74"/>
      <c r="H74" s="25" t="str">
        <f>LOWER(CONCATENATE("THB",THBRATE[[#This Row],[Value.code]]))</f>
        <v>thbtnd</v>
      </c>
      <c r="I74" s="30">
        <f>1/THBRATE[[#This Row],[Value.rate]]</f>
        <v>13.579814576329392</v>
      </c>
    </row>
    <row r="75" spans="1:9">
      <c r="A75" s="1"/>
      <c r="B75"/>
      <c r="C75"/>
      <c r="D75"/>
      <c r="E75"/>
      <c r="F75"/>
      <c r="G75"/>
      <c r="H75" s="25" t="str">
        <f>LOWER(CONCATENATE("THB",THBRATE[[#This Row],[Value.code]]))</f>
        <v>thbvnd</v>
      </c>
      <c r="I75" s="30">
        <f>1/THBRATE[[#This Row],[Value.rate]]</f>
        <v>1.4597967488753397E-3</v>
      </c>
    </row>
    <row r="76" spans="1:9">
      <c r="A76" s="1"/>
      <c r="B76"/>
      <c r="C76"/>
      <c r="D76"/>
      <c r="E76"/>
      <c r="F76"/>
      <c r="G76"/>
      <c r="H76" s="25" t="str">
        <f>LOWER(CONCATENATE("THB",THBRATE[[#This Row],[Value.code]]))</f>
        <v>thblbp</v>
      </c>
      <c r="I76" s="30">
        <f>1/THBRATE[[#This Row],[Value.rate]]</f>
        <v>2.1967433942077626E-2</v>
      </c>
    </row>
    <row r="77" spans="1:9">
      <c r="A77" s="1"/>
      <c r="B77"/>
      <c r="C77"/>
      <c r="D77"/>
      <c r="E77"/>
      <c r="F77"/>
      <c r="G77"/>
      <c r="H77" s="25" t="str">
        <f>LOWER(CONCATENATE("THB",THBRATE[[#This Row],[Value.code]]))</f>
        <v>thbczk</v>
      </c>
      <c r="I77" s="30">
        <f>1/THBRATE[[#This Row],[Value.rate]]</f>
        <v>1.5152753920380724</v>
      </c>
    </row>
    <row r="78" spans="1:9">
      <c r="A78" s="1"/>
      <c r="B78"/>
      <c r="C78"/>
      <c r="D78"/>
      <c r="E78"/>
      <c r="F78"/>
      <c r="G78"/>
      <c r="H78" s="25" t="str">
        <f>LOWER(CONCATENATE("THB",THBRATE[[#This Row],[Value.code]]))</f>
        <v>thbomr</v>
      </c>
      <c r="I78" s="30">
        <f>1/THBRATE[[#This Row],[Value.rate]]</f>
        <v>86.231292787994533</v>
      </c>
    </row>
    <row r="79" spans="1:9">
      <c r="A79" s="1"/>
      <c r="B79"/>
      <c r="C79"/>
      <c r="D79"/>
      <c r="E79"/>
      <c r="F79"/>
      <c r="G79"/>
      <c r="H79" s="25" t="str">
        <f>LOWER(CONCATENATE("THB",THBRATE[[#This Row],[Value.code]]))</f>
        <v>thbbbd</v>
      </c>
      <c r="I79" s="30">
        <f>1/THBRATE[[#This Row],[Value.rate]]</f>
        <v>16.577966038491518</v>
      </c>
    </row>
    <row r="80" spans="1:9">
      <c r="A80" s="1"/>
      <c r="B80"/>
      <c r="C80"/>
      <c r="D80"/>
      <c r="E80"/>
      <c r="F80"/>
      <c r="G80"/>
      <c r="H80" s="25" t="str">
        <f>LOWER(CONCATENATE("THB",THBRATE[[#This Row],[Value.code]]))</f>
        <v>thbpen</v>
      </c>
      <c r="I80" s="30">
        <f>1/THBRATE[[#This Row],[Value.rate]]</f>
        <v>10.246319388216229</v>
      </c>
    </row>
    <row r="81" spans="1:9">
      <c r="A81" s="1"/>
      <c r="B81"/>
      <c r="C81"/>
      <c r="D81"/>
      <c r="E81"/>
      <c r="F81"/>
      <c r="G81"/>
      <c r="H81" s="25" t="str">
        <f>LOWER(CONCATENATE("THB",THBRATE[[#This Row],[Value.code]]))</f>
        <v>thbuyu</v>
      </c>
      <c r="I81" s="30">
        <f>1/THBRATE[[#This Row],[Value.rate]]</f>
        <v>1.1513711573438807</v>
      </c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sqref="A1:B3"/>
    </sheetView>
  </sheetViews>
  <sheetFormatPr defaultRowHeight="13.8"/>
  <cols>
    <col min="1" max="1" width="8.59765625" bestFit="1" customWidth="1"/>
    <col min="2" max="2" width="10.8984375" bestFit="1" customWidth="1"/>
  </cols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5711A4F-B9EA-4BDE-A71B-13F0D4B63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4</vt:i4>
      </vt:variant>
    </vt:vector>
  </HeadingPairs>
  <TitlesOfParts>
    <vt:vector size="15" baseType="lpstr">
      <vt:lpstr>Disclaimer</vt:lpstr>
      <vt:lpstr>Example</vt:lpstr>
      <vt:lpstr>REF-Cryptowat.ch</vt:lpstr>
      <vt:lpstr>REF-BX.in.th</vt:lpstr>
      <vt:lpstr>REF-Bittrex</vt:lpstr>
      <vt:lpstr>Bitfinex</vt:lpstr>
      <vt:lpstr>Poloniex</vt:lpstr>
      <vt:lpstr>Bittrex</vt:lpstr>
      <vt:lpstr>Bx</vt:lpstr>
      <vt:lpstr>FloatRates.com</vt:lpstr>
      <vt:lpstr>Sheet9</vt:lpstr>
      <vt:lpstr>BITFINEX</vt:lpstr>
      <vt:lpstr>EURTHB</vt:lpstr>
      <vt:lpstr>POLONIEX</vt:lpstr>
      <vt:lpstr>USDTHB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วรภพ โล่ห์วงศ์วัฒน</dc:creator>
  <cp:lastModifiedBy>วรภพ โล่ห์วงศ์วัฒน</cp:lastModifiedBy>
  <dcterms:created xsi:type="dcterms:W3CDTF">2017-08-15T18:13:53Z</dcterms:created>
  <dcterms:modified xsi:type="dcterms:W3CDTF">2017-09-07T09:25:32Z</dcterms:modified>
</cp:coreProperties>
</file>